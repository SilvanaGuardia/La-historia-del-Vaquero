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Users\user\Desktop\DATA\Proyectos 2026\Bitacora\"/>
    </mc:Choice>
  </mc:AlternateContent>
  <xr:revisionPtr revIDLastSave="0" documentId="13_ncr:1_{A7BAA15A-62B5-47C0-96B2-9BD131985E2B}" xr6:coauthVersionLast="47" xr6:coauthVersionMax="47" xr10:uidLastSave="{00000000-0000-0000-0000-000000000000}"/>
  <bookViews>
    <workbookView xWindow="315" yWindow="285" windowWidth="18555" windowHeight="9645" xr2:uid="{00000000-000D-0000-FFFF-FFFF00000000}"/>
  </bookViews>
  <sheets>
    <sheet name="Dat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2" i="1" l="1"/>
  <c r="C3" i="1"/>
  <c r="C4" i="1"/>
  <c r="C5" i="1"/>
  <c r="C6" i="1"/>
  <c r="C7" i="1"/>
  <c r="C8" i="1"/>
  <c r="C9" i="1"/>
  <c r="C10" i="1"/>
  <c r="C11" i="1"/>
  <c r="C12" i="1"/>
  <c r="C13" i="1"/>
  <c r="C14" i="1"/>
  <c r="C15" i="1"/>
  <c r="C16" i="1"/>
  <c r="C17" i="1"/>
  <c r="C18" i="1"/>
  <c r="C19" i="1"/>
  <c r="C20" i="1"/>
  <c r="C21" i="1"/>
  <c r="C22" i="1"/>
  <c r="C23" i="1"/>
  <c r="C24" i="1"/>
  <c r="C25" i="1"/>
</calcChain>
</file>

<file path=xl/sharedStrings.xml><?xml version="1.0" encoding="utf-8"?>
<sst xmlns="http://schemas.openxmlformats.org/spreadsheetml/2006/main" count="775" uniqueCount="678">
  <si>
    <t>#</t>
  </si>
  <si>
    <t>Nombre Tradicional</t>
  </si>
  <si>
    <t>Arquetipo</t>
  </si>
  <si>
    <t>País</t>
  </si>
  <si>
    <t>Región</t>
  </si>
  <si>
    <t>Bioma / Entorno</t>
  </si>
  <si>
    <t>Actividad Principal</t>
  </si>
  <si>
    <t>Periodo de Consolidación</t>
  </si>
  <si>
    <t>Año / Hito Clave</t>
  </si>
  <si>
    <t>¿Qué documento o hecho histórico fija su posición aquí?</t>
  </si>
  <si>
    <t>Sombrero</t>
  </si>
  <si>
    <t>Camisa</t>
  </si>
  <si>
    <t>Chaqueta / Chaleco</t>
  </si>
  <si>
    <t>Pantalón</t>
  </si>
  <si>
    <t>Calzado / Botas</t>
  </si>
  <si>
    <t>Chaparreras</t>
  </si>
  <si>
    <t>Guantes</t>
  </si>
  <si>
    <t>Cinturon / Faja</t>
  </si>
  <si>
    <t>Espuelas</t>
  </si>
  <si>
    <t>Lazo</t>
  </si>
  <si>
    <t>Montura</t>
  </si>
  <si>
    <t>Raza de Caballo</t>
  </si>
  <si>
    <t>Corbata (Bolo/Moño)</t>
  </si>
  <si>
    <t>Caballo Histórico</t>
  </si>
  <si>
    <t>Hito Técnico / Aporte Documentado</t>
  </si>
  <si>
    <t>Fuente Documental Clave</t>
  </si>
  <si>
    <t>Jinete Íbero</t>
  </si>
  <si>
    <t>Jinete Andalusí</t>
  </si>
  <si>
    <t>Vaquero Andaluz</t>
  </si>
  <si>
    <t>Campino do Ribatejo</t>
  </si>
  <si>
    <t>Hatero</t>
  </si>
  <si>
    <t>Guajiro</t>
  </si>
  <si>
    <t>Vaquero Novohispano</t>
  </si>
  <si>
    <t>Vaqueiro do Sertão</t>
  </si>
  <si>
    <t>Sabanero</t>
  </si>
  <si>
    <t>Chalán</t>
  </si>
  <si>
    <t>Morochuco</t>
  </si>
  <si>
    <t>Chagra</t>
  </si>
  <si>
    <t>Llanero</t>
  </si>
  <si>
    <t xml:space="preserve">Gaucho </t>
  </si>
  <si>
    <t>Huaso</t>
  </si>
  <si>
    <t>Jinete Nativo</t>
  </si>
  <si>
    <t>Gaúcho Sul-Rio-Grandense</t>
  </si>
  <si>
    <t>Vaqueiro Pantaneiro</t>
  </si>
  <si>
    <t>Vaquero Californio y Tejano</t>
  </si>
  <si>
    <t>Paniolo</t>
  </si>
  <si>
    <t>Cowboy Angloamericano</t>
  </si>
  <si>
    <t>Jinete Íbero / Celtíbero</t>
  </si>
  <si>
    <t>Jinete Andalusí-Castellano (La Jineta)</t>
  </si>
  <si>
    <t>Vaquero Andaluz / Marismeño</t>
  </si>
  <si>
    <t>Hatero / Montero Antillano</t>
  </si>
  <si>
    <t>Guajiro / Sabanero Cubano</t>
  </si>
  <si>
    <t>Vaquero Novohispano / Mesteño</t>
  </si>
  <si>
    <t>Vaqueiro do Sertão (Nordestino)</t>
  </si>
  <si>
    <t>Sabanero Centroamericano</t>
  </si>
  <si>
    <t>Chalán Costeño</t>
  </si>
  <si>
    <t>Morochuco Altoandino</t>
  </si>
  <si>
    <t>Chagra del Páramo</t>
  </si>
  <si>
    <t>Llanero Colombo-Venezolano</t>
  </si>
  <si>
    <t>Gaucho Rioplatense</t>
  </si>
  <si>
    <t>Huaso del Valle Central</t>
  </si>
  <si>
    <t>Jinete Nativo de las Llanuras y Suroeste</t>
  </si>
  <si>
    <t>Paniolo Hawaiano</t>
  </si>
  <si>
    <t>Península Ibérica</t>
  </si>
  <si>
    <t>España</t>
  </si>
  <si>
    <t>Portugal</t>
  </si>
  <si>
    <t>Rep. Dominicana</t>
  </si>
  <si>
    <t>Cuba / P. Rico</t>
  </si>
  <si>
    <t>México</t>
  </si>
  <si>
    <t>Brasil</t>
  </si>
  <si>
    <t>Costa Rica / Nicaragua / Honduras</t>
  </si>
  <si>
    <t>Perú</t>
  </si>
  <si>
    <t>Ecuador</t>
  </si>
  <si>
    <t>Colombia / Venezuela</t>
  </si>
  <si>
    <t>Argentina</t>
  </si>
  <si>
    <t>Chile</t>
  </si>
  <si>
    <t>EE.UU</t>
  </si>
  <si>
    <t>Hawai</t>
  </si>
  <si>
    <t>Península Ibérica (España y Portugal)</t>
  </si>
  <si>
    <t>Al-Ándalus, Extremadura y La Mancha (España)</t>
  </si>
  <si>
    <t>Andalucía, Extremadura y Salamanca (España)</t>
  </si>
  <si>
    <t>Lezíria del río Tajo, Ribatejo (Portugal)</t>
  </si>
  <si>
    <t>Isla La Española (Rep. Dominicana)</t>
  </si>
  <si>
    <t>Camagüey, Sancti Spíritus y Oriente (Cuba / P. Rico)</t>
  </si>
  <si>
    <t>Altiplano central, Bajío y Norte de Nueva España (México)</t>
  </si>
  <si>
    <t>Sertão de Bahía, Pernambuco, Ceará y Piauí (Brasil)</t>
  </si>
  <si>
    <t>Guanacaste (Costa Rica), Chontales y Rivas (Nicaragua), Olancho (Honduras)</t>
  </si>
  <si>
    <t>Valles costeros del Perú (Trujillo, Lambayeque, Lima, Ica)</t>
  </si>
  <si>
    <t>Pampas de Cangallo, Huamanga (Ayacucho, Perú)</t>
  </si>
  <si>
    <t>Sierra Central del Ecuador (Machachi, Cotopaxi, Antisana)</t>
  </si>
  <si>
    <t>Llanos del Orinoco (Apure, Barinas, Guárico, Casanare, Meta)</t>
  </si>
  <si>
    <t>Pampa Húmeda, Uruguay (Banda Oriental) y Litoral Argentino</t>
  </si>
  <si>
    <t>Valle Central de Chile (Aconcagua al Biobío)</t>
  </si>
  <si>
    <t>Nuevo México, Texas y Grandes Llanuras (Comanches, Apaches, Navajos, Sioux)</t>
  </si>
  <si>
    <t>Rio Grande do Sul (Sur de Brasil)</t>
  </si>
  <si>
    <t>Pantanal de Mato Grosso y Mato Grosso do Sul (Brasil)</t>
  </si>
  <si>
    <t>Alta California, Nuevo México, Arizona y Texas</t>
  </si>
  <si>
    <t>Bajío, Jalisco, Michoacán, Hidalgo y Edo. de México</t>
  </si>
  <si>
    <t>Isla de Hawái (Waimea / Parker Ranch) y Maui</t>
  </si>
  <si>
    <t>Meseta rocosa y monte mediterráneo</t>
  </si>
  <si>
    <t>Dehesas de frontera y llanuras semiáridas</t>
  </si>
  <si>
    <t>Marismas del Guadalquivir y dehesa de encinas</t>
  </si>
  <si>
    <t>Llanuras aluviales e inundables del Tajo</t>
  </si>
  <si>
    <t>Sabanas tropicales, valles y monte espinoso (manigua)</t>
  </si>
  <si>
    <t>Sabanas de pastizal húmedo y valles de palmas</t>
  </si>
  <si>
    <t>Llanuras semiáridas, matorral de mezquite y nopaleras</t>
  </si>
  <si>
    <t>Caatinga: bosque seco hiper-espinoso de cactáceas y suelo pedregoso</t>
  </si>
  <si>
    <t>Bosque seco tropical y sabanas del Pacífico</t>
  </si>
  <si>
    <t>Desierto costero hiperárido, valles fluviales y callejones de tapial</t>
  </si>
  <si>
    <t>Puna altoandina (3.500 a 4.500 msnm), ichu y quebradas</t>
  </si>
  <si>
    <t>Páramo húmedo y gélido de alta montaña (3.200 a 4.500 msnm)</t>
  </si>
  <si>
    <t>Sabanas inundables (esteros), ríos caudalosos y palmares</t>
  </si>
  <si>
    <t>Llanura herbácea templada infinita (Pampa)</t>
  </si>
  <si>
    <t>Valles agrícolas mediterráneos y precordillera</t>
  </si>
  <si>
    <t>Praderas de pasto corto, cañones áridos y estepas</t>
  </si>
  <si>
    <t>Pampa Gaúcho y Campanha meridional brasileña</t>
  </si>
  <si>
    <t>Pantanal: la mayor llanura aluvial inundable del mundo</t>
  </si>
  <si>
    <t>Chaparral costero, valles californianos y llanuras del Río Bravo</t>
  </si>
  <si>
    <t>Valles agrícolas, meseta central y grandes haciendas</t>
  </si>
  <si>
    <t>Laderas volcánicas empinadas, bosques húmedos y costas</t>
  </si>
  <si>
    <t>Guerrilla ecuestre, escaramuza y cría caballar</t>
  </si>
  <si>
    <t>Caballería ligera fronteriza y pastoreo trashumante (La Mesta)</t>
  </si>
  <si>
    <t>Conducción, tienta y acoso y derribo de ganado bravo</t>
  </si>
  <si>
    <t>Conducción de toros bravos (cabrestos) y custodia de manadas</t>
  </si>
  <si>
    <t>Cacería de ganado vacuno cimarrón (monterías) para cueros y sebo</t>
  </si>
  <si>
    <t>Manejo de hatos ganaderos, potreros y transporte</t>
  </si>
  <si>
    <t>Rodeos de la Santa Hermandad de la Mesta y arreo a grandes distancias</t>
  </si>
  <si>
    <t>Pega de boi no mato (captura de ganado salvaje dentro del matorral cerrado)</t>
  </si>
  <si>
    <t>Vaquería extensiva en haciendas coloniales y comercio de ganado en pie</t>
  </si>
  <si>
    <t>Supervisión de haciendas costeras, arreo entre valles y cría de caballos de silla</t>
  </si>
  <si>
    <t>Ganadería de altura, arreo de vacunos/equinos y guerrilla montada</t>
  </si>
  <si>
    <t>Rodeo de ganado bravo de páramo (ganado de lidia y criollo)</t>
  </si>
  <si>
    <t>Vaquearía de sabana abierta, cruce de ríos a nado con ganado y doma</t>
  </si>
  <si>
    <t>Vaquerías de ganado cimarrón, saladeros, arreo y guerra gaucha</t>
  </si>
  <si>
    <t>Rodeo en medialuna, aparta de ganado y trilla a yeguas</t>
  </si>
  <si>
    <t>Caza ecuestre del bisonte, comercio de caballos (Comanchería) y guerra</t>
  </si>
  <si>
    <t>Arreo para las charqueadas (productoras de tasajo) y milicias de frontera</t>
  </si>
  <si>
    <t>Conducción de grandes comitivas ganaderas por humedales e islas de bosque (cordilheiras)</t>
  </si>
  <si>
    <t>Matanzas para el comercio marítimo de cueros y sebo; grandes rodeos abiertos</t>
  </si>
  <si>
    <t>Faenas de hacienda (coleadero, piales, terna), guerrilla (chinacos) y representación nacional</t>
  </si>
  <si>
    <t>Captura de ganado longhorn salvaje (introducido por Vancouver en 1793) y ganadería de rancho</t>
  </si>
  <si>
    <t>Siglos V a.C. – I d.C.</t>
  </si>
  <si>
    <t>Siglos VIII – XV</t>
  </si>
  <si>
    <t>Siglos XV – XIX</t>
  </si>
  <si>
    <t>1493 – Siglo XVII</t>
  </si>
  <si>
    <t>Siglos XVI – XIX</t>
  </si>
  <si>
    <t>Siglos XVI – XVIII</t>
  </si>
  <si>
    <t>Siglos XVII – XIX</t>
  </si>
  <si>
    <t>1680 – Siglo XIX</t>
  </si>
  <si>
    <t>Siglos XVIII – XIX</t>
  </si>
  <si>
    <t>1769 – 1848 (y pervivencia post-1848)</t>
  </si>
  <si>
    <t>Siglo XIX (Independencia, Reforma y Porfiriato)</t>
  </si>
  <si>
    <t>Desde 1832 – Siglo XIX</t>
  </si>
  <si>
    <t>~450 a.C. – 218 a.C.</t>
  </si>
  <si>
    <t>711 – 1273</t>
  </si>
  <si>
    <t>Siglo XV (~1400–1492)</t>
  </si>
  <si>
    <t>Siglo XV (~1450)</t>
  </si>
  <si>
    <t>1511 – 1514</t>
  </si>
  <si>
    <t>1519 – 1537</t>
  </si>
  <si>
    <t>1534 – 1550</t>
  </si>
  <si>
    <t>1524 – 1540</t>
  </si>
  <si>
    <t>1532 – 1653</t>
  </si>
  <si>
    <t>1542 – Siglo XVII</t>
  </si>
  <si>
    <t>1534 – Siglo XVII</t>
  </si>
  <si>
    <t>1548 – Siglo XVII</t>
  </si>
  <si>
    <t>1536 / 1580 – 1700</t>
  </si>
  <si>
    <t>1541 – Siglo XVII</t>
  </si>
  <si>
    <t>1680 (Agosto)</t>
  </si>
  <si>
    <t>1737 – 1780</t>
  </si>
  <si>
    <t>1737 – 1780s</t>
  </si>
  <si>
    <t>1718 / 1769 – 1848</t>
  </si>
  <si>
    <t>1810 – 1860s</t>
  </si>
  <si>
    <t>1865 – 1890</t>
  </si>
  <si>
    <t>Hallazgos arqueológicos de bocados de caballo en necrópolis íberas (s. V a.C.) y crónicas de Tito Livio y Estrabón sobre la caballería hispana en las Guerras Púnicas (218 a.C.).</t>
  </si>
  <si>
    <t>En el 711 entran a Hispania los jinetes bereberes. En 1273 se funda el Concejo de la Mesta.</t>
  </si>
  <si>
    <t>Durante la Baja Edad Media se consolida en las Marismas del Guadalquivir (Sevilla/Huelva) el manejo de ganado vacuno bravo a caballo con garrocha, zahones y hierro candente, justo antes del viaje a América.</t>
  </si>
  <si>
    <t>En paralelo a Andalucía, la corona portuguesa consolida el manejo de vacadas bravas en las llanuras inundables del río Tajo (Lezíria), que servirá de matriz para el Brasil colonial.</t>
  </si>
  <si>
    <t>En noviembre de 1493 (Segundo Viaje de Colón), desembarcan en La Isabela (La Española / Rep. Dominicana) los primeros caballos y vacas de América. Es el punto cero de toda la ganadería americana.</t>
  </si>
  <si>
    <t>En 1511, Diego Velázquez de Cuéllar lleva ganado desde La Española a Cuba. Los cabildos cubanos entregan las primeras mercedes de tierras circulares llamadas hatos y corrales, de donde saldrán los caballos hacia México.</t>
  </si>
  <si>
    <t>Hernán Cortés reintroduce el caballo en el continente en 1519; Gregorio de Villalobos lleva las primeras terneras al Pánuco en 1521, y el 31 de julio de 1537 se funda en Ciudad de México la primera Mesta de América, naciendo la silla con cabeza para lazar.</t>
  </si>
  <si>
    <t>En 1534 Ana Pimentel introduce el primer ganado vacuno en Brasil, y en 1550 Garcia d'Ávila (Casa da Torre, Bahía) inicia el avance de los hatos hacia el matorral espinoso del río São Francisco (Caatinga).</t>
  </si>
  <si>
    <t>Entre 1524 y 1540, expediciones desde Panamá y Santo Domingo introducen el ganado en las sabanas del Pacífico de Nicaragua (Rivas/Chontales), Honduras y Costa Rica (Guanacaste).</t>
  </si>
  <si>
    <t>Los caballos entran al Perú en 1532; para 1653, el cronista jesuita Bernabé Cobo ya documenta en su Historia del Nuevo Mundo que en los valles de la costa peruana se criaban caballos de "portante" o ambladura (paso llano) únicos por su suavidad.</t>
  </si>
  <si>
    <t>Tras la Batalla de Chupas (1542), soldados almagristas derrotados se refugian en las punas de Cangallo (Ayacucho), mestizándose con comunidades quechuas y adaptando la ganadería equina y vacuna a los 4.000 msnm.</t>
  </si>
  <si>
    <t>Sebastián de Belalcázar introduce el ganado en Quito en 1534. Durante el siglo XVII, las haciendas jesuitas y criollas de los valles de Machachi y el Cotopaxi consolidan al jinete de páramo con zamarro de piel contra el frío extremo.</t>
  </si>
  <si>
    <t>En 1548, Cristóbal Rodríguez funda el primer hato ganadero en los Llanos del Orinoco (Guárico/Apure) con 18 vacas y 10 yeguas. En el siglo XVII, la multiplicación salvaje del ganado da origen al llanero descalzo y anfibio.</t>
  </si>
  <si>
    <t>Pedro de Mendoza deja los primeros caballos en Buenos Aires en 1536 y Juan de Garay introduce el ganado vacuno en 1580. A lo largo del siglo XVII (1600s) se organizan las Vaquerías del Mar en la Pampa y la Banda Oriental, surgiendo el gaucho (registrado inicialmente como gauderio o changador).</t>
  </si>
  <si>
    <t>Pedro de Valdivia introduce yeguas y vacas en Chile en 1541. Durante el siglo XVII, el sistema de estancias del Valle Central y la frontera del Biobío fusiona el apero andaluz con los tejidos mapuches (manta y chamanto).</t>
  </si>
  <si>
    <t>Fecha exacta: En agosto de 1680, la Rebelión de los Indios Pueblo liderada por Popé expulsa a los españoles de Nuevo México. Miles de caballos quedan en manos indígenas y se comercian hacia el norte con Apaches, Comanches, Kiowas y Sioux.</t>
  </si>
  <si>
    <t>Aunque había ganado jesuita previo, la identidad del Gaúcho brasileño se consolida con la fundación portuguesa de Rio Grande (1737), el Tratado de Madrid (1750) y la apertura de la primera gran charqueada en Pelotas en 1780.</t>
  </si>
  <si>
    <t>Tras el descubrimiento de oro en Cuiabá (1719), a partir de 1737 se establecen las primeras haciendas de cría extensiva dentro de las llanuras inundables del Pantanal de Mato Grosso (como la histórica Fazenda Jacobina).</t>
  </si>
  <si>
    <t>En Texas los ranchos misionales despegan desde 1718 (San Antonio), y a Alta California el ganado y los vaqueros llegan en 1769 con la expedición de Gaspar de Portolá y Fray Junípero Serra. Su época de oro va de 1769 a 1848 (Tratado de Guadalupe Hidalgo).</t>
  </si>
  <si>
    <t>Al caer las prohibiciones virreinales para que mestizos montaran con apero de gala, el Chinaco surge en la Guerra de Independencia (1810) y la Guerra de Reforma/Intervención Francesa (1857–1867); a partir de 1860–1880 se estiliza el traje de Charro moderno.</t>
  </si>
  <si>
    <t>Fecha exacta: En 1832, el rey Kamehameha III de Hawái viaja a California y contrata a tres vaqueros hispanomexicanos (Kossuth, Louzeida y Ramón) para enseñar a su pueblo a lazar el ganado salvaje en Waimea.</t>
  </si>
  <si>
    <t>Casco de cuero / Túnica</t>
  </si>
  <si>
    <t>Bonete, capellar o toca</t>
  </si>
  <si>
    <t>Sombrero cordobés de ala ancha</t>
  </si>
  <si>
    <t>Barrete verde (gorro con borla)</t>
  </si>
  <si>
    <t>Sombrero de palma cana/yarey</t>
  </si>
  <si>
    <t>Sombrero de yarey o guano</t>
  </si>
  <si>
    <t>Jarano (fieltro/palma)</t>
  </si>
  <si>
    <t>Chapéu de couro</t>
  </si>
  <si>
    <t>Sombrero chontal (palma)</t>
  </si>
  <si>
    <t>Sombrero de paja toquilla</t>
  </si>
  <si>
    <t>Chullo andino y sombrero de paño</t>
  </si>
  <si>
    <t>Sombrero de paño prensado</t>
  </si>
  <si>
    <t>Pelo e' guama o cogollo</t>
  </si>
  <si>
    <t>Chambergo o panza de burro</t>
  </si>
  <si>
    <t>Chupalla de paja / teatina</t>
  </si>
  <si>
    <t>Cintas frontales o plumas</t>
  </si>
  <si>
    <t>Chapéu de aba larga con barbicacho</t>
  </si>
  <si>
    <t>Paja de carandá</t>
  </si>
  <si>
    <t>Poblano de ala ancha recta</t>
  </si>
  <si>
    <t>Sombrero charro de fieltro</t>
  </si>
  <si>
    <t>Lauhala o fieltro con lei</t>
  </si>
  <si>
    <t>Lino corta</t>
  </si>
  <si>
    <t>Túnica o jubón corto</t>
  </si>
  <si>
    <t>Camisa blanca</t>
  </si>
  <si>
    <t>Camisa de lienzo crudo/cáñamo</t>
  </si>
  <si>
    <t>Guayabera o camisa de hilo</t>
  </si>
  <si>
    <t>Camisa de manta</t>
  </si>
  <si>
    <t>Camisa de algodón</t>
  </si>
  <si>
    <t>Cotona de algodón</t>
  </si>
  <si>
    <t>Camisa blanca de algodón</t>
  </si>
  <si>
    <t>Camisa de bayeta</t>
  </si>
  <si>
    <t>Camisa gruesa</t>
  </si>
  <si>
    <t>Camisa liviana o liquiliqui</t>
  </si>
  <si>
    <t>Camisa holgada</t>
  </si>
  <si>
    <t>Bayeta comercial o piel venado</t>
  </si>
  <si>
    <t>Camisa de manta/algodón</t>
  </si>
  <si>
    <t>Camisa palaka (cuadros)</t>
  </si>
  <si>
    <t>Ninguna</t>
  </si>
  <si>
    <t>Capa aguadera</t>
  </si>
  <si>
    <t>Chaquetilla corta</t>
  </si>
  <si>
    <t>Colete encarnado (chaleco rojo)</t>
  </si>
  <si>
    <t>Cotón de gamuza o cuera</t>
  </si>
  <si>
    <t>Gibão de couro y guarda-peito</t>
  </si>
  <si>
    <t>Poncho de hilo de algodón</t>
  </si>
  <si>
    <t>Chaleco y poncho grueso de oveja</t>
  </si>
  <si>
    <t>Poncho de Castilla tupido</t>
  </si>
  <si>
    <t>Cobija (manta bicolor)</t>
  </si>
  <si>
    <t>Chaleco y poncho pampa</t>
  </si>
  <si>
    <t>Chaquetilla corta y Chamanto</t>
  </si>
  <si>
    <t>Manta tejida</t>
  </si>
  <si>
    <t>Chaleco y pala (poncho)</t>
  </si>
  <si>
    <t>Chaquetilla corta bordada</t>
  </si>
  <si>
    <t>Chaqueta corta de gamuza</t>
  </si>
  <si>
    <t>Lino / Cuero</t>
  </si>
  <si>
    <t>Calzas de paño</t>
  </si>
  <si>
    <t>Pantalón de montar con zahones</t>
  </si>
  <si>
    <t>Calzón hasta la rodilla</t>
  </si>
  <si>
    <t>Calzón de brin o lona arremangado</t>
  </si>
  <si>
    <t>Pantalón de dril blanco</t>
  </si>
  <si>
    <t>Calzón de paño y cubierta de cuero</t>
  </si>
  <si>
    <t>Pantalón de algodón (bajo el cuero)</t>
  </si>
  <si>
    <t>Pantalón de dril/manta</t>
  </si>
  <si>
    <t>Pantalón blanco</t>
  </si>
  <si>
    <t>Pantalón de bayeta/cordellate</t>
  </si>
  <si>
    <t>Pantalón grueso</t>
  </si>
  <si>
    <t>Garrasí (arremangado)</t>
  </si>
  <si>
    <t>Calzoncillo cribado y Chiripá</t>
  </si>
  <si>
    <t>Pantalón de corte recto</t>
  </si>
  <si>
    <t>Taparrabos</t>
  </si>
  <si>
    <t>Chiripá (luego bombacha)</t>
  </si>
  <si>
    <t>Pantalón arremangado</t>
  </si>
  <si>
    <t>Calzoneras (abiertas a los lados)</t>
  </si>
  <si>
    <t>Pantalón ajustado (botonadura)</t>
  </si>
  <si>
    <t>Lona o mezclilla</t>
  </si>
  <si>
    <t>Calzado ligero / Sandalias</t>
  </si>
  <si>
    <t>Borceguíes de cuero blando</t>
  </si>
  <si>
    <t>Botas de media caña</t>
  </si>
  <si>
    <t>Medias blancas y zapatos</t>
  </si>
  <si>
    <t>Polainas rústicas / Descalzo</t>
  </si>
  <si>
    <t>Botines de vaqueta o polainas</t>
  </si>
  <si>
    <t>Botines de cuero</t>
  </si>
  <si>
    <t>Alpercata o bota de cuero</t>
  </si>
  <si>
    <t>Caites o botas vaqueras</t>
  </si>
  <si>
    <t>Botas de cuero</t>
  </si>
  <si>
    <t>Botas o zapatos de cuero</t>
  </si>
  <si>
    <t>Descalzo o cotizas (alpargatas)</t>
  </si>
  <si>
    <t>Botas de potro (dedos libres)</t>
  </si>
  <si>
    <t>Botas de taco alto</t>
  </si>
  <si>
    <t>Mocasines de suela dura</t>
  </si>
  <si>
    <t>Botas de garrão</t>
  </si>
  <si>
    <t>Descalzo o botas engrasadas</t>
  </si>
  <si>
    <t>Botas altas</t>
  </si>
  <si>
    <t>Botines de charro</t>
  </si>
  <si>
    <t>Botas de montar</t>
  </si>
  <si>
    <t>No usa</t>
  </si>
  <si>
    <t>Zahones de cuero (perneras)</t>
  </si>
  <si>
    <t>Armas de agua</t>
  </si>
  <si>
    <t>Perneiras (cuero rígido)</t>
  </si>
  <si>
    <t>Polainas de cuero</t>
  </si>
  <si>
    <t>Zamarro (piel de chivo peluda)</t>
  </si>
  <si>
    <t>Pierneras de cuero blando</t>
  </si>
  <si>
    <t>Leggings altas de gamuza</t>
  </si>
  <si>
    <t>Perneiras de carpincho (abiertas)</t>
  </si>
  <si>
    <t>Armitas (California) o Chaparreras</t>
  </si>
  <si>
    <t>Chaparreras de gamuza</t>
  </si>
  <si>
    <t>Chaparreras californianas</t>
  </si>
  <si>
    <t>Opcional</t>
  </si>
  <si>
    <t>Luvas (guantes de cuero)</t>
  </si>
  <si>
    <t>Guantes de trabajo</t>
  </si>
  <si>
    <t>Cuerda / Faja</t>
  </si>
  <si>
    <t>Faja</t>
  </si>
  <si>
    <t>Faja de cuero o tela</t>
  </si>
  <si>
    <t>Faja roja</t>
  </si>
  <si>
    <t>Cuerda o faja</t>
  </si>
  <si>
    <t>Cinturón de cuero</t>
  </si>
  <si>
    <t>Faja y cinturón</t>
  </si>
  <si>
    <t>Cinto de cuero</t>
  </si>
  <si>
    <t>Cinto fino</t>
  </si>
  <si>
    <t>Faja andina</t>
  </si>
  <si>
    <t>Cinto simple</t>
  </si>
  <si>
    <t>Faja y Tirador con rastra</t>
  </si>
  <si>
    <t>Faja tejida y cinto</t>
  </si>
  <si>
    <t>Faja de cuero</t>
  </si>
  <si>
    <t>Guaiaca (cinto con bolsillos)</t>
  </si>
  <si>
    <t>Cinto ancho con faca</t>
  </si>
  <si>
    <t>Cinto piteado</t>
  </si>
  <si>
    <t>Cinturón con cartucheras</t>
  </si>
  <si>
    <t>Espuela jineta (corta)</t>
  </si>
  <si>
    <t>Espuelas vaqueras tradicionales</t>
  </si>
  <si>
    <t>Espuela sencilla</t>
  </si>
  <si>
    <t>Opcional (sencillas)</t>
  </si>
  <si>
    <t>Espuelas sencillas</t>
  </si>
  <si>
    <t>Espuelas de hierro forjado</t>
  </si>
  <si>
    <t>Espuelas cortas rústicas</t>
  </si>
  <si>
    <t>Espuela de estrella</t>
  </si>
  <si>
    <t>Espuela de plata/hierro</t>
  </si>
  <si>
    <t>Espuelas roncadoras</t>
  </si>
  <si>
    <t>Espuelas de hierro</t>
  </si>
  <si>
    <t>Espuelas atadas al pie descalzo</t>
  </si>
  <si>
    <t>Nazarenas grandes</t>
  </si>
  <si>
    <t>Espuela chilena (roncadora)</t>
  </si>
  <si>
    <t>Chilenas</t>
  </si>
  <si>
    <t>Espuelas simples</t>
  </si>
  <si>
    <t>Espuelas californianas (plata)</t>
  </si>
  <si>
    <t>Espuelas charras (Amozoc)</t>
  </si>
  <si>
    <t>Espuelas vaqueras</t>
  </si>
  <si>
    <t>Cuerda corta</t>
  </si>
  <si>
    <t>Lanza jineta / Garrocha</t>
  </si>
  <si>
    <t>Lazo o garrocha</t>
  </si>
  <si>
    <t>Pampilho (vara larga)</t>
  </si>
  <si>
    <t>Desjarretadera y machete</t>
  </si>
  <si>
    <t>Soga de majagua o cuero torcido</t>
  </si>
  <si>
    <t>Reata de ixtle o cuero crudo</t>
  </si>
  <si>
    <t>Mano limpia y vara corta (ferrão)</t>
  </si>
  <si>
    <t>Soga de cuero crudo</t>
  </si>
  <si>
    <t>Lazo de cuero trenzado</t>
  </si>
  <si>
    <t>Lazo trenzado y waraka (honda)</t>
  </si>
  <si>
    <t>Beta (cuero retorcido) y acial</t>
  </si>
  <si>
    <t>Rejo amarrado a la cola del caballo</t>
  </si>
  <si>
    <t>Boleadoras y lazo trenzado</t>
  </si>
  <si>
    <t>Lazo de cuero crudo</t>
  </si>
  <si>
    <t>Lazo de crin, arco y lanza</t>
  </si>
  <si>
    <t>Laço comprido y boleadeiras</t>
  </si>
  <si>
    <t>Laço de couro y berrante</t>
  </si>
  <si>
    <t>Riata trenzada (para dally)</t>
  </si>
  <si>
    <t>Reata de lechuguilla (ixtle)</t>
  </si>
  <si>
    <t>Kaula ʻili (reata de cuero)</t>
  </si>
  <si>
    <t>Silla ibérica primitiva</t>
  </si>
  <si>
    <t>Silla jineta (arzones altos)</t>
  </si>
  <si>
    <t>Silla vaquera andaluza</t>
  </si>
  <si>
    <t>Sela à portuguesa</t>
  </si>
  <si>
    <t>Albarda de cuero crudo</t>
  </si>
  <si>
    <t>Montura cubana de fuste ligero</t>
  </si>
  <si>
    <t>Silla vaquera mexicana (arzón grueso)</t>
  </si>
  <si>
    <t>Sela nordestina baja</t>
  </si>
  <si>
    <t>Albarda sabanera de cuero crudo</t>
  </si>
  <si>
    <t>Silla peruana con estribos de cajón</t>
  </si>
  <si>
    <t>Montura andina con pellón</t>
  </si>
  <si>
    <t>Montura chagra de fuste alto</t>
  </si>
  <si>
    <t>Silla llanera liviana</t>
  </si>
  <si>
    <t>Recado (sirve de cama)</t>
  </si>
  <si>
    <t>Montura chilena (estribos cerrados)</t>
  </si>
  <si>
    <t>Pad saddle (cojín de bisonte)</t>
  </si>
  <si>
    <t>Lombilho / sela crioula</t>
  </si>
  <si>
    <t>Sela pantaneira liviana</t>
  </si>
  <si>
    <t>Montura de California (tapaderos)</t>
  </si>
  <si>
    <t>Silla charra (cabeza de plato)</t>
  </si>
  <si>
    <t>Noho lio (silla mexicana)</t>
  </si>
  <si>
    <t>Pañuelo al cuello</t>
  </si>
  <si>
    <t>Pañuelo rojo al cuello</t>
  </si>
  <si>
    <t>Pañuelo blanco</t>
  </si>
  <si>
    <t>Chalina (bufanda)</t>
  </si>
  <si>
    <t>Bufanda de lana</t>
  </si>
  <si>
    <t>Lenço (pañuelo)</t>
  </si>
  <si>
    <t>Pañuelo</t>
  </si>
  <si>
    <t>Corbata de moño/mariposa</t>
  </si>
  <si>
    <t>Bandana para el polvo</t>
  </si>
  <si>
    <t>Caballo Ibérico / Lusitano antiguo</t>
  </si>
  <si>
    <t>Caballo Hispano-Bereber (Marismeño)</t>
  </si>
  <si>
    <t>Caballo Andaluz / Pura Raza Española (Cartujano)</t>
  </si>
  <si>
    <t>Caballo Lusitano / Sorraia</t>
  </si>
  <si>
    <t>Caballo Español Antillano (origen del Paso Higüeyano)</t>
  </si>
  <si>
    <t>Caballo Criollo Cubano (Marchero / Paso Fino)</t>
  </si>
  <si>
    <t>Caballo Criollo Mexicano / Mesteño</t>
  </si>
  <si>
    <t>Caballo Nordestino / Pé-Duro</t>
  </si>
  <si>
    <t>Caballo Criollo Centroamericano</t>
  </si>
  <si>
    <t>Caballo Peruano de Paso</t>
  </si>
  <si>
    <t>Caballo Morochuco / Criollo Andino</t>
  </si>
  <si>
    <t>Caballo Páramo / Criollo Ecuatoriano</t>
  </si>
  <si>
    <t>Caballo Criollo Llanero</t>
  </si>
  <si>
    <t>Caballo Criollo Rioplatense</t>
  </si>
  <si>
    <t>Caballo Chileno (registrado desde 1893, raíz colonial)</t>
  </si>
  <si>
    <t>Mustang (del español mesteño, liberado en 1680)</t>
  </si>
  <si>
    <t>Cavalo Crioulo brasileño</t>
  </si>
  <si>
    <t>Cavalo Pantaneiro (cascos ultrarresistentes al agua)</t>
  </si>
  <si>
    <t>Caballo Californio / Mesteño</t>
  </si>
  <si>
    <t>Caballo Criollo Mexicano y cruzas hispanas</t>
  </si>
  <si>
    <t>Caballo Mauna Loa / Criollo Californio</t>
  </si>
  <si>
    <t>Doma con bocado articulado y extrema agilidad en terreno quebrado sin estribos.</t>
  </si>
  <si>
    <t>Introducción de la monta a la jineta (pierna doblada, giro rápido y rienda a una mano).</t>
  </si>
  <si>
    <t>Sistema de hierros de marcar, rodeos estacionales (herraderos), zahones y conducción con garrocha.</t>
  </si>
  <si>
    <t>Matriz directa de la ganadería lusa que pasó al Brasil colonial en el siglo XVI.</t>
  </si>
  <si>
    <t>Primer vaquero de América: nacen los hatos, la quema de sabanas y el uso del cuero cimarrón.</t>
  </si>
  <si>
    <t>Adaptación al trópico húmedo insular; de las haciendas de Cuba salieron los primeros caballos hacia México (1519).</t>
  </si>
  <si>
    <t>Revolución técnica mundial: reemplaza la garrocha y la desjarretadera por el lazo amarrado a la cabeza de la silla.</t>
  </si>
  <si>
    <t>Único traje-armadura integral de cuero de América, derivado de los jubones de cuero portugueses medievales.</t>
  </si>
  <si>
    <t>Desarrollo de la albarda de cuero crudo ventilada y el grito de arreo (güipipía).</t>
  </si>
  <si>
    <t>Selección genética del paso llano (ambladura lateral sin rebote para cruzar desiertos) y el estribo de cajón de madera tallada.</t>
  </si>
  <si>
    <t>Fusión ecuestre hispano-quechua; actuaron como caballería ligera decisiva en la Independencia del Perú.</t>
  </si>
  <si>
    <t>El zamarro de piel peluda que actúa como aislante térmico e impermeable natural contra la neblina y lluvia helada.</t>
  </si>
  <si>
    <t>Arreo anfibio y la técnica única de amarrar la soga directamente a la cola del caballo en lugar de a la silla.</t>
  </si>
  <si>
    <t>Adopción de las boleadoras indígenas, el recado-cama, la bota de potro y el lazo prendido al anillo del cinchón.</t>
  </si>
  <si>
    <t>Fusión del traje corto andaluz con la textilería mapuche (faja y chamanto) y el estribo de madera astillero.</t>
  </si>
  <si>
    <t>Tras la Rebelión de los Pueblos (1680), difundieron el caballo español por toda Norteamérica y dominaron el tiro con arco al galope.</t>
  </si>
  <si>
    <t>Frontera hispano-portuguesa: unificó el vocabulario castellano y portugués de la pampa con la economía del charque.</t>
  </si>
  <si>
    <t>Uso del berrante (toques acústicos de cuerno para ordenar la marcha de miles de reses en el agua) y cuero de capibara.</t>
  </si>
  <si>
    <t>Origen directo del Buckaroo: inventó la técnica de dar vuelta (dar la vuelta $\rightarrow$ dally) con la riata sin atarla fija al fuste.</t>
  </si>
  <si>
    <t>Institucionalización de las suertes charras (floreo de reata, coleadero, jineteo) que originaron el rodeo moderno.</t>
  </si>
  <si>
    <t>En 1832, el rey Kamehameha III contrató vaqueros hispanomexicanos; los hawaianos los llamaron Paniolo (por "Español").</t>
  </si>
  <si>
    <t>Euclides da Cunha (Os Sertões, 1902); Câmara Cascudo (1956).</t>
  </si>
  <si>
    <t xml:space="preserve">Charro </t>
  </si>
  <si>
    <t>Chinaco</t>
  </si>
  <si>
    <t>Chinaco Mexicano</t>
  </si>
  <si>
    <t>Charro de Faena / Gala</t>
  </si>
  <si>
    <t>Jalisco, Michoacán, Hidalgo, Edo. de México y Bajío</t>
  </si>
  <si>
    <t>Faenas charras (piales, manganas, coleadero) y representación nacional</t>
  </si>
  <si>
    <t>Fines del Siglo XIX – Siglo XX</t>
  </si>
  <si>
    <t>1880 – 1920s</t>
  </si>
  <si>
    <t>Tras la pacificación del país en el Porfiriato, el antiguo vaquero de hacienda y el chinaco se estilizan, dando origen a las asociaciones de charrería y reglamentando el traje.</t>
  </si>
  <si>
    <t>Sombrero charro de fieltro (4 pedradas)</t>
  </si>
  <si>
    <t>Camisa pachuqueña (cuello pegado)</t>
  </si>
  <si>
    <t>Chaquetilla corta con alamares</t>
  </si>
  <si>
    <t>Pantalón ajustado con botonadura de plata o grecas</t>
  </si>
  <si>
    <t>Botines charros (de una pieza)</t>
  </si>
  <si>
    <t>Chaparreras de gamuza o cuero para faena</t>
  </si>
  <si>
    <t>Cinto piteado (bordado con maguey)</t>
  </si>
  <si>
    <t>Espuelas charras de Amozoc</t>
  </si>
  <si>
    <t>Reata de lechuguilla (ixtle) para floreo</t>
  </si>
  <si>
    <t>Corbata de moño o mariposa</t>
  </si>
  <si>
    <t>Caballo Criollo Mexicano</t>
  </si>
  <si>
    <t>Elevó las labores de campo a deporte nacional reglamentado (La Charrería) y perfeccionó el floreo de reata.</t>
  </si>
  <si>
    <t>Vaquero Afrodescendiente</t>
  </si>
  <si>
    <t>Black Cowboy	Black Cowboy (Domador / Jinete de Arreo)</t>
  </si>
  <si>
    <t>Texas, Oklahoma y Grandes Llanuras</t>
  </si>
  <si>
    <t>Praderas abiertas, matorral texano y rutas de ganado</t>
  </si>
  <si>
    <t>Doma de caballos salvajes (broncos), trabajo de arreo y rodeos 1820s – 1890s 1820 – 1865</t>
  </si>
  <si>
    <t>Trabajaban el ganado en Texas como personas esclavizadas desde 1820. Tras la emancipación (1865), 1 de cada 4 cowboys era afroamericano, asumiendo los trabajos más duros como domadores y cocineros de campamento.</t>
  </si>
  <si>
    <t>Sombrero de ala ancha gastado (excedente o fieltro rústico)</t>
  </si>
  <si>
    <t>Camisa de lana burda o algodón casero (homespun)</t>
  </si>
  <si>
    <t>Chaleco de lona o paño grueso</t>
  </si>
  <si>
    <t>Pantalón de excedente militar o lana</t>
  </si>
  <si>
    <t xml:space="preserve">1820s – 1890s </t>
  </si>
  <si>
    <t>1820 – 1865</t>
  </si>
  <si>
    <t>Botas de trabajo (a menudo de segunda mano)</t>
  </si>
  <si>
    <t>Chaparreras cerradas (shotgun chaps) rústicas</t>
  </si>
  <si>
    <t>Cinturón de cuero simple</t>
  </si>
  <si>
    <t>Lariat de cáñamo o cuero</t>
  </si>
  <si>
    <t>Silla texana (frecuentemente heredada o muy usada)</t>
  </si>
  <si>
    <t>Pañuelo (bandana) anudado al cuello</t>
  </si>
  <si>
    <t>Caballo Bronco Texano</t>
  </si>
  <si>
    <t>Perfeccionaron la doma extrema y crearon técnicas de rodeo moderno, como el "bulldogging" (derribo de novillos inventado por Bill Pickett).</t>
  </si>
  <si>
    <t>Cowboy Comercial / Trail Hand</t>
  </si>
  <si>
    <t>Rutas hacia Kansas, Montana y Wyoming</t>
  </si>
  <si>
    <t>Praderas abiertas y pueblos ferroviarios (Cowtowns)</t>
  </si>
  <si>
    <t>Long drives (arreos masivos hacia el ferrocarril) y vigilancia de linderos</t>
  </si>
  <si>
    <t>Camisa de franela o algodón de fábrica</t>
  </si>
  <si>
    <t xml:space="preserve">Tras la Guerra de Secesión, jóvenes del norte y sur migran al oeste. Es la era del arreo comercial financiado por capitales del este, que duró apenas 25 años antes de la llegada del alambre de púas. </t>
  </si>
  <si>
    <t>Sombrero Stetson "Boss of the Plains" (Catálogo)</t>
  </si>
  <si>
    <t>Chaleco con bolsillos (para tabaco y reloj)</t>
  </si>
  <si>
    <t>Denim (pantalones Levi's remachados post-1873)</t>
  </si>
  <si>
    <t>Botas vaqueras de tacón alto (Catálogo)</t>
  </si>
  <si>
    <t>Chaps (shotgun o batwing) de cuero de fábrica</t>
  </si>
  <si>
    <t>Guantes de piel de ciervo</t>
  </si>
  <si>
    <t>Espuelas western comerciales</t>
  </si>
  <si>
    <t>Texas Longhorn y Quarter Horse</t>
  </si>
  <si>
    <t>Apropiación y comercialización a gran escala del oficio hispano-afro-indígena, convirtiéndolo en el gran mito fundacional y literario de EE.UU.</t>
  </si>
  <si>
    <t>Lariat (soga de cáñamo)</t>
  </si>
  <si>
    <t>Silla texana de doble cincha nueva</t>
  </si>
  <si>
    <t>Tooltip</t>
  </si>
  <si>
    <t>Resumenes de textos</t>
  </si>
  <si>
    <t>En el siglo I a.C., el geógrafo griego Estrabón documentó en su Geografía (Libro III) la extraordinaria destreza ecuestre de los pueblos íberos. Describió cómo criaban caballos sumamente ágiles, acostumbrados a trepar por riscos montañosos con la misma facilidad que en la llanura, y entrenados mediante doma avanzada para arrodillarse en silencio y obedecer señales tácticas.</t>
  </si>
  <si>
    <t>"Caballos ágiles, adiestrados para arrodillarse y luchar tanto en riscos como en llanuras." — Estrabón (s. I a.C.)</t>
  </si>
  <si>
    <r>
      <t xml:space="preserve">Introducida en la Península Ibérica por los bereberes y adoptada por los reinos cristianos, la monta "a la jineta" revolucionó la equitación con estribos cortos y piernas flexionadas. Como registró Bernardo de Vargas Machuca en su tratado </t>
    </r>
    <r>
      <rPr>
        <i/>
        <sz val="11"/>
        <color theme="1"/>
        <rFont val="Calibri"/>
        <family val="2"/>
        <scheme val="minor"/>
      </rPr>
      <t>Libro de ejercicios de la jineta</t>
    </r>
    <r>
      <rPr>
        <sz val="11"/>
        <color theme="1"/>
        <rFont val="Calibri"/>
        <family val="2"/>
        <scheme val="minor"/>
      </rPr>
      <t xml:space="preserve"> (1599), esta postura otorgaba al jinete un control total para girar ("revolver") velozmente, sentando las bases del trabajo ganadero en América.</t>
    </r>
  </si>
  <si>
    <t>"La silla más noble y segura, que da gran ventaja al jinete para revolver con rapidez." — B. de Vargas Machuca (1599)</t>
  </si>
  <si>
    <t>En las marismas del Guadalquivir se perfeccionó la doma vaquera y la conducción de ganado bravo a campo abierto mediante la garrocha (vara larga de madera). El viajero inglés Richard Ford documentó en Gatherings from Spain (1846) cómo estos mayorales y vaqueros, equipados con sombrero de ala ancha y zahones de cuero, manejaban toros feroces con un dominio técnico que luego cruzó el Atlántico.</t>
  </si>
  <si>
    <t>"Con su garrocha y gran dominio del caballo, maneja a los toros más feroces en las marismas." — Richard Ford (1846)</t>
  </si>
  <si>
    <t>Guardián ancestral de las llanuras aluviales (lezírias) del río Tajo en Portugal, el campino desarrolló una técnica ecuestre paralela a la andaluza para guiar toros bravos usando el pampilho (vara con punta metálica) y su característico barrete verde y chaleco rojo. El escritor portugués Alves Redol retrató en su obra Gaibéus (1939) la dureza de su oficio y su vínculo con el caballo lusitano.</t>
  </si>
  <si>
    <t>"Señor de los toros y de los vastos horizontes del Tajo, con su pampilho en mano." — Ref. Alves Redol (1939)</t>
  </si>
  <si>
    <t>Primer eslabón americano del oficio en La Española (Santo Domingo) tras el arribo del ganado ibérico en 1493. El cronista Gonzalo Fernández de Oviedo registró en su Historia general y natural de las Indias (1535) cómo las reses se multiplicaron en hatos salvajes de miles de cabezas, obligando a los monteros a cazarlas a caballo con la desjarretadera (media luna de hierro en una lanza) para aprovechar el cuero y el sebo.</t>
  </si>
  <si>
    <t>Adaptado al clima húmedo y a las sabanas de palma real en Cuba, el jinete criollo sustituyó las prendas pesadas europeas por ropa fresca de lino o algodón, sombrero de yarey tejido y machete de trabajo al cinto. En su crónica Cuba with Pen and Pencil (1871), Samuel Hazard destacó que el guajiro jamás caminaba si podía cabalgar, haciendo de su caballo de paso una extensión de su cuerpo.</t>
  </si>
  <si>
    <t>"El guajiro no camina, cabalga; su caballo, su sombrero de yarey y su machete son inseparables." — Samuel Hazard (1871)</t>
  </si>
  <si>
    <r>
      <t xml:space="preserve">Con la expansión ganadera hacia el norte de México surgió la necesidad de regular los rodeos y las marcas de fuego. El 31 de julio de 1537, las </t>
    </r>
    <r>
      <rPr>
        <i/>
        <sz val="11"/>
        <color theme="1"/>
        <rFont val="Calibri"/>
        <family val="2"/>
        <scheme val="minor"/>
      </rPr>
      <t>Actas de Cabildo de la Ciudad de México</t>
    </r>
    <r>
      <rPr>
        <sz val="11"/>
        <color theme="1"/>
        <rFont val="Calibri"/>
        <family val="2"/>
        <scheme val="minor"/>
      </rPr>
      <t xml:space="preserve"> establecieron la primera Mesta de América, ordenando que los estancieros y jinetes mestizos e indígenas reunieran las reses alzadas, momento en que la antigua garrocha cedió su lugar al lazo trenzado.</t>
    </r>
  </si>
  <si>
    <r>
      <t>"Mandamos que los dueños se junten en Mesta y traigan sus hierros para apartar las reses."</t>
    </r>
    <r>
      <rPr>
        <sz val="11"/>
        <color theme="1"/>
        <rFont val="Calibri"/>
        <family val="2"/>
        <scheme val="minor"/>
      </rPr>
      <t xml:space="preserve"> — Cabildo de México (1537)</t>
    </r>
  </si>
  <si>
    <r>
      <t xml:space="preserve">En el semiárido noreste brasileño, el bosque espinoso de la </t>
    </r>
    <r>
      <rPr>
        <i/>
        <sz val="11"/>
        <color theme="1"/>
        <rFont val="Calibri"/>
        <family val="2"/>
        <scheme val="minor"/>
      </rPr>
      <t>caatinga</t>
    </r>
    <r>
      <rPr>
        <sz val="11"/>
        <color theme="1"/>
        <rFont val="Calibri"/>
        <family val="2"/>
        <scheme val="minor"/>
      </rPr>
      <t xml:space="preserve"> obligó al vaquero a cubrirse de pies a cabeza con un traje articulado de cuero curtido (</t>
    </r>
    <r>
      <rPr>
        <i/>
        <sz val="11"/>
        <color theme="1"/>
        <rFont val="Calibri"/>
        <family val="2"/>
        <scheme val="minor"/>
      </rPr>
      <t>gibão</t>
    </r>
    <r>
      <rPr>
        <sz val="11"/>
        <color theme="1"/>
        <rFont val="Calibri"/>
        <family val="2"/>
        <scheme val="minor"/>
      </rPr>
      <t xml:space="preserve">, </t>
    </r>
    <r>
      <rPr>
        <i/>
        <sz val="11"/>
        <color theme="1"/>
        <rFont val="Calibri"/>
        <family val="2"/>
        <scheme val="minor"/>
      </rPr>
      <t>guarda-peito</t>
    </r>
    <r>
      <rPr>
        <sz val="11"/>
        <color theme="1"/>
        <rFont val="Calibri"/>
        <family val="2"/>
        <scheme val="minor"/>
      </rPr>
      <t xml:space="preserve"> y </t>
    </r>
    <r>
      <rPr>
        <i/>
        <sz val="11"/>
        <color theme="1"/>
        <rFont val="Calibri"/>
        <family val="2"/>
        <scheme val="minor"/>
      </rPr>
      <t>perneiras</t>
    </r>
    <r>
      <rPr>
        <sz val="11"/>
        <color theme="1"/>
        <rFont val="Calibri"/>
        <family val="2"/>
        <scheme val="minor"/>
      </rPr>
      <t xml:space="preserve">). En su obra clásica </t>
    </r>
    <r>
      <rPr>
        <i/>
        <sz val="11"/>
        <color theme="1"/>
        <rFont val="Calibri"/>
        <family val="2"/>
        <scheme val="minor"/>
      </rPr>
      <t>Os Sertões</t>
    </r>
    <r>
      <rPr>
        <sz val="11"/>
        <color theme="1"/>
        <rFont val="Calibri"/>
        <family val="2"/>
        <scheme val="minor"/>
      </rPr>
      <t xml:space="preserve"> (1902), Euclides da Cunha lo inmortalizó como un hombre inquebrantable que, envuelto en su armadura de cuero flexible, se lanzaba al galope entre las espinas para derribar al ganado por la cola.</t>
    </r>
  </si>
  <si>
    <r>
      <t>"O sertanejo é, antes de tudo, um forte... inquebrantable en su armadura de cuero bajo el sol."</t>
    </r>
    <r>
      <rPr>
        <sz val="11"/>
        <color theme="1"/>
        <rFont val="Calibri"/>
        <family val="2"/>
        <scheme val="minor"/>
      </rPr>
      <t xml:space="preserve"> — Euclides da Cunha (1902)</t>
    </r>
  </si>
  <si>
    <r>
      <t xml:space="preserve">Forjado en las cálidas llanuras del Pacífico entre Nicaragua y Costa Rica (Guanacaste), el sabanero desarrolló una cultura de hacienda basada en el manejo de ganado criollo bajo temperaturas extremas. El viajero dominico Thomas Gage documentó en </t>
    </r>
    <r>
      <rPr>
        <i/>
        <sz val="11"/>
        <color theme="1"/>
        <rFont val="Calibri"/>
        <family val="2"/>
        <scheme val="minor"/>
      </rPr>
      <t>The English-American</t>
    </r>
    <r>
      <rPr>
        <sz val="11"/>
        <color theme="1"/>
        <rFont val="Calibri"/>
        <family val="2"/>
        <scheme val="minor"/>
      </rPr>
      <t xml:space="preserve"> (1648) la inmensa riqueza ganadera de estas provincias, donde cientos de peones montados dedicaban su vida al rodeo y al arreo colonial.</t>
    </r>
  </si>
  <si>
    <r>
      <t>"Haciendas con cientos de jinetes cuya única labor es correr y domar reses por las sabanas."</t>
    </r>
    <r>
      <rPr>
        <sz val="11"/>
        <color theme="1"/>
        <rFont val="Calibri"/>
        <family val="2"/>
        <scheme val="minor"/>
      </rPr>
      <t xml:space="preserve"> — Thomas Gage (1648)</t>
    </r>
  </si>
  <si>
    <r>
      <t xml:space="preserve">En los valles desérticos de la costa peruana, la selección genética durante siglos dio origen al Caballo Peruano de Paso, famoso por su andar lateral ("llano") libre de sacudidas verticales. El cronista jesuita Bernabé Cobo dejó constancia de este fenómeno en su </t>
    </r>
    <r>
      <rPr>
        <i/>
        <sz val="11"/>
        <color theme="1"/>
        <rFont val="Calibri"/>
        <family val="2"/>
        <scheme val="minor"/>
      </rPr>
      <t>Historia del Nuevo Mundo</t>
    </r>
    <r>
      <rPr>
        <sz val="11"/>
        <color theme="1"/>
        <rFont val="Calibri"/>
        <family val="2"/>
        <scheme val="minor"/>
      </rPr>
      <t xml:space="preserve"> (1653), maravillándose de que estos caballos tuvieran un portante tan suave que el jinete viajaba como en una litera.</t>
    </r>
  </si>
  <si>
    <r>
      <t>"Andan en un portante tan llano y suave que el jinete va como en silla de manos."</t>
    </r>
    <r>
      <rPr>
        <sz val="11"/>
        <color theme="1"/>
        <rFont val="Calibri"/>
        <family val="2"/>
        <scheme val="minor"/>
      </rPr>
      <t xml:space="preserve"> — Bernabé Cobo (1653)</t>
    </r>
  </si>
  <si>
    <r>
      <t>"Centauros de las pampas de Cangallo que arrean ganado en las heladas cumbres andinas."</t>
    </r>
    <r>
      <rPr>
        <sz val="11"/>
        <color theme="1"/>
        <rFont val="Calibri"/>
        <family val="2"/>
        <scheme val="minor"/>
      </rPr>
      <t xml:space="preserve"> — Ricardo Palma (1872)</t>
    </r>
  </si>
  <si>
    <t>Habitante de las gélidas pampas de Cangallo (Ayacucho, Perú) a más de 3,500 metros de altitud, el morochuco desciende del mestizaje entre jinetes españoles e indígenas quechuas. Como destacó Ricardo Palma en sus Tradiciones Peruanas (1872), estos "centauros andinos" dominaron el lazo trenzado, el látigo (cocobolo) y pequeños caballos serranos resistentes a la hipoxia.</t>
  </si>
  <si>
    <r>
      <t xml:space="preserve">En los páramos volcánicos del Ecuador, el frío glacial y los pajonales húmedos moldearon un jinete protegido por pesados ponchos de lana y gruesos </t>
    </r>
    <r>
      <rPr>
        <i/>
        <sz val="11"/>
        <color theme="1"/>
        <rFont val="Calibri"/>
        <family val="2"/>
        <scheme val="minor"/>
      </rPr>
      <t>zamarros</t>
    </r>
    <r>
      <rPr>
        <sz val="11"/>
        <color theme="1"/>
        <rFont val="Calibri"/>
        <family val="2"/>
        <scheme val="minor"/>
      </rPr>
      <t xml:space="preserve"> (pantalones exteriores de piel de borrego, llama o puma). El diplomático Friedrich Hassaurek describió en </t>
    </r>
    <r>
      <rPr>
        <i/>
        <sz val="11"/>
        <color theme="1"/>
        <rFont val="Calibri"/>
        <family val="2"/>
        <scheme val="minor"/>
      </rPr>
      <t>Four Years Among Spanish-Americans</t>
    </r>
    <r>
      <rPr>
        <sz val="11"/>
        <color theme="1"/>
        <rFont val="Calibri"/>
        <family val="2"/>
        <scheme val="minor"/>
      </rPr>
      <t xml:space="preserve"> (1867) la pericia de estos vaqueros de altura, capaces de enlazar toros bravos al borde de los abismos del Cotopaxi.</t>
    </r>
  </si>
  <si>
    <r>
      <t>"Envuelto en su grueso poncho y zamarro peludo, persigue al ganado por los despeñaderos del páramo."</t>
    </r>
    <r>
      <rPr>
        <sz val="11"/>
        <color theme="1"/>
        <rFont val="Calibri"/>
        <family val="2"/>
        <scheme val="minor"/>
      </rPr>
      <t xml:space="preserve"> — F. Hassaurek (1867)</t>
    </r>
  </si>
  <si>
    <r>
      <t>"Centauro de la sabana; a nado junto a su caballo, cruza ríos inmensos guiando las vacadas."</t>
    </r>
    <r>
      <rPr>
        <sz val="11"/>
        <color theme="1"/>
        <rFont val="Calibri"/>
        <family val="2"/>
        <scheme val="minor"/>
      </rPr>
      <t xml:space="preserve"> — Ramón Páez (1862)</t>
    </r>
  </si>
  <si>
    <r>
      <t>En la inmensa cuenca del Orinoco, el llanero se adaptó a un ciclo extremo de sequías e inundaciones montando descalzo (sujetando el estribo entre los dedos del pie) con el pantalón arremangado (</t>
    </r>
    <r>
      <rPr>
        <i/>
        <sz val="11"/>
        <color theme="1"/>
        <rFont val="Calibri"/>
        <family val="2"/>
        <scheme val="minor"/>
      </rPr>
      <t>garrasi</t>
    </r>
    <r>
      <rPr>
        <sz val="11"/>
        <color theme="1"/>
        <rFont val="Calibri"/>
        <family val="2"/>
        <scheme val="minor"/>
      </rPr>
      <t xml:space="preserve">). En </t>
    </r>
    <r>
      <rPr>
        <i/>
        <sz val="11"/>
        <color theme="1"/>
        <rFont val="Calibri"/>
        <family val="2"/>
        <scheme val="minor"/>
      </rPr>
      <t>Wild Scenes in South America</t>
    </r>
    <r>
      <rPr>
        <sz val="11"/>
        <color theme="1"/>
        <rFont val="Calibri"/>
        <family val="2"/>
        <scheme val="minor"/>
      </rPr>
      <t xml:space="preserve"> (1862), Ramón Páez relató cómo estos jinetes guiaban miles de reses cruzando a nado ríos infestados de caimanes.</t>
    </r>
  </si>
  <si>
    <t>Señor de las pampas de Argentina y Uruguay, el gaucho sintetizó la herencia ecuestre hispana con herramientas indígenas como las boleadoras, sumando el facón, el chiripá y la bota de potro. En el poema fundacional El Gaucho Martín Fierro (1872), José Hernández inmortalizó su espíritu libre y seminómada, así como la transición histórica desde las antiguas vaquerías abiertas hacia las estancias alambradas.</t>
  </si>
  <si>
    <t>"Mi gloria es vivir tan libre como el pájaro del cielo; no hago nido en este suelo." — José Hernández (1872)</t>
  </si>
  <si>
    <t>Surgido en las estancias de la zona central de Chile, el huaso desarrolló una montura de fuste alto con grandes estribos de madera tallada que protegían el pie entre los espinos, complementada con el chamanto o manta corta. Ya en 1646, el cronista jesuita Alonso de Ovalle (Histórica relación del Reyno de Chile) elogiaba la destreza de los jinetes chilenos en los rodeos y el vigor de sus caballos criollos.</t>
  </si>
  <si>
    <r>
      <t>"Con su manta y estribos labrados, el hombre de campo chileno hace gala de destreza en el rodeo."</t>
    </r>
    <r>
      <rPr>
        <sz val="11"/>
        <color theme="1"/>
        <rFont val="Calibri"/>
        <family val="2"/>
        <scheme val="minor"/>
      </rPr>
      <t xml:space="preserve"> — Alonso de Ovalle (1646)</t>
    </r>
  </si>
  <si>
    <r>
      <t xml:space="preserve">Tras la Rebelión Pueblo de 1680 en Nuevo México, miles de caballos españoles pasaron a manos de naciones como los Comanches, Apaches y Sioux, transformándolos en una de las culturas ecuestres más formidables de la historia. El pintor y viajero George Catlin registró en sus </t>
    </r>
    <r>
      <rPr>
        <i/>
        <sz val="11"/>
        <color theme="1"/>
        <rFont val="Calibri"/>
        <family val="2"/>
        <scheme val="minor"/>
      </rPr>
      <t>Letters and Notes</t>
    </r>
    <r>
      <rPr>
        <sz val="11"/>
        <color theme="1"/>
        <rFont val="Calibri"/>
        <family val="2"/>
        <scheme val="minor"/>
      </rPr>
      <t xml:space="preserve"> (1841) cómo el jinete comanche se fundía con su montura a pelo o con ligeras sillas de cuero crudo en las Grandes Llanuras.</t>
    </r>
  </si>
  <si>
    <r>
      <t>"Al posar su mano sobre el lomo del caballo, se convierte en el jinete más elegante de las praderas."</t>
    </r>
    <r>
      <rPr>
        <sz val="11"/>
        <color theme="1"/>
        <rFont val="Calibri"/>
        <family val="2"/>
        <scheme val="minor"/>
      </rPr>
      <t xml:space="preserve"> — George Catlin (1841)</t>
    </r>
  </si>
  <si>
    <r>
      <t xml:space="preserve">En las pampas fronterizas del sur de Brasil (Rio Grande do Sul), el </t>
    </r>
    <r>
      <rPr>
        <i/>
        <sz val="11"/>
        <color theme="1"/>
        <rFont val="Calibri"/>
        <family val="2"/>
        <scheme val="minor"/>
      </rPr>
      <t>gaúcho</t>
    </r>
    <r>
      <rPr>
        <sz val="11"/>
        <color theme="1"/>
        <rFont val="Calibri"/>
        <family val="2"/>
        <scheme val="minor"/>
      </rPr>
      <t xml:space="preserve"> compartió la matriz rioplatense pero la integró al sistema de las </t>
    </r>
    <r>
      <rPr>
        <i/>
        <sz val="11"/>
        <color theme="1"/>
        <rFont val="Calibri"/>
        <family val="2"/>
        <scheme val="minor"/>
      </rPr>
      <t>charqueadas</t>
    </r>
    <r>
      <rPr>
        <sz val="11"/>
        <color theme="1"/>
        <rFont val="Calibri"/>
        <family val="2"/>
        <scheme val="minor"/>
      </rPr>
      <t xml:space="preserve"> (saladeros de carne) lusobrasileñas, vistiendo </t>
    </r>
    <r>
      <rPr>
        <i/>
        <sz val="11"/>
        <color theme="1"/>
        <rFont val="Calibri"/>
        <family val="2"/>
        <scheme val="minor"/>
      </rPr>
      <t>bombachas</t>
    </r>
    <r>
      <rPr>
        <sz val="11"/>
        <color theme="1"/>
        <rFont val="Calibri"/>
        <family val="2"/>
        <scheme val="minor"/>
      </rPr>
      <t xml:space="preserve"> anchas, poncho </t>
    </r>
    <r>
      <rPr>
        <i/>
        <sz val="11"/>
        <color theme="1"/>
        <rFont val="Calibri"/>
        <family val="2"/>
        <scheme val="minor"/>
      </rPr>
      <t>pala</t>
    </r>
    <r>
      <rPr>
        <sz val="11"/>
        <color theme="1"/>
        <rFont val="Calibri"/>
        <family val="2"/>
        <scheme val="minor"/>
      </rPr>
      <t xml:space="preserve"> y sombrero con barboquejo. El escritor João Simões Lopes Neto retrató en </t>
    </r>
    <r>
      <rPr>
        <i/>
        <sz val="11"/>
        <color theme="1"/>
        <rFont val="Calibri"/>
        <family val="2"/>
        <scheme val="minor"/>
      </rPr>
      <t>Contos Gauchescos</t>
    </r>
    <r>
      <rPr>
        <sz val="11"/>
        <color theme="1"/>
        <rFont val="Calibri"/>
        <family val="2"/>
        <scheme val="minor"/>
      </rPr>
      <t xml:space="preserve"> (1912) su dominio del lazo largo de cuero trenzado y su vida en los confines del sur.</t>
    </r>
  </si>
  <si>
    <r>
      <t>"Vive atado a la silla y al lazo largo, lidiando el ganado en las fronteras del sur."</t>
    </r>
    <r>
      <rPr>
        <sz val="11"/>
        <color theme="1"/>
        <rFont val="Calibri"/>
        <family val="2"/>
        <scheme val="minor"/>
      </rPr>
      <t xml:space="preserve"> — J. Simões Lopes Neto (1912)</t>
    </r>
  </si>
  <si>
    <t>En el humedal más grande del planeta (Mato Grosso, Brasil), este vaquero desarrolló una ganadería anfibia guiando enormes comitivas de ganado a través de esteros inundados mediante el sonido del berrante (cuerno vacuno). En su expedición de 1914 (Through the Brazilian Wilderness), Theodore Roosevelt y Cândido Rondon documentaron la resistencia de estos jinetes y sus caballos adaptados a pastar en el agua.</t>
  </si>
  <si>
    <r>
      <t>"Con su berrante sonando en las aguas, guía miles de reses en una odisea anfibia por el Pantanal."</t>
    </r>
    <r>
      <rPr>
        <sz val="11"/>
        <color theme="1"/>
        <rFont val="Calibri"/>
        <family val="2"/>
        <scheme val="minor"/>
      </rPr>
      <t xml:space="preserve"> — T. Roosevelt / C. Rondon (1914)</t>
    </r>
  </si>
  <si>
    <r>
      <t xml:space="preserve">En la frontera norte novohispana y mexicana (Alta California y Texas), los vaqueros perfeccionaron la silla de lazo con fuste fuerte, las </t>
    </r>
    <r>
      <rPr>
        <i/>
        <sz val="11"/>
        <color theme="1"/>
        <rFont val="Calibri"/>
        <family val="2"/>
        <scheme val="minor"/>
      </rPr>
      <t>armitas</t>
    </r>
    <r>
      <rPr>
        <sz val="11"/>
        <color theme="1"/>
        <rFont val="Calibri"/>
        <family val="2"/>
        <scheme val="minor"/>
      </rPr>
      <t xml:space="preserve"> contra el chaparral y la técnica de dar vuelta (</t>
    </r>
    <r>
      <rPr>
        <i/>
        <sz val="11"/>
        <color theme="1"/>
        <rFont val="Calibri"/>
        <family val="2"/>
        <scheme val="minor"/>
      </rPr>
      <t>dally</t>
    </r>
    <r>
      <rPr>
        <sz val="11"/>
        <color theme="1"/>
        <rFont val="Calibri"/>
        <family val="2"/>
        <scheme val="minor"/>
      </rPr>
      <t xml:space="preserve">) al cuerno con la </t>
    </r>
    <r>
      <rPr>
        <i/>
        <sz val="11"/>
        <color theme="1"/>
        <rFont val="Calibri"/>
        <family val="2"/>
        <scheme val="minor"/>
      </rPr>
      <t>riata</t>
    </r>
    <r>
      <rPr>
        <sz val="11"/>
        <color theme="1"/>
        <rFont val="Calibri"/>
        <family val="2"/>
        <scheme val="minor"/>
      </rPr>
      <t xml:space="preserve"> de cuero crudo. En </t>
    </r>
    <r>
      <rPr>
        <i/>
        <sz val="11"/>
        <color theme="1"/>
        <rFont val="Calibri"/>
        <family val="2"/>
        <scheme val="minor"/>
      </rPr>
      <t>Two Years Before the Mast</t>
    </r>
    <r>
      <rPr>
        <sz val="11"/>
        <color theme="1"/>
        <rFont val="Calibri"/>
        <family val="2"/>
        <scheme val="minor"/>
      </rPr>
      <t xml:space="preserve"> (1840), el estadounidense Richard Henry Dana afirmó que eran los mejores jinetes del mundo, capaces de lazar un toro a plena carrera por cualquier pata.</t>
    </r>
  </si>
  <si>
    <r>
      <t>"Los mejores jinetes del mundo; manejan la riata con precisión absoluta a plena carrera."</t>
    </r>
    <r>
      <rPr>
        <sz val="11"/>
        <color theme="1"/>
        <rFont val="Calibri"/>
        <family val="2"/>
        <scheme val="minor"/>
      </rPr>
      <t xml:space="preserve"> — Richard H. Dana (1840)</t>
    </r>
  </si>
  <si>
    <r>
      <t xml:space="preserve">Desde la década de 1820 en Texas, miles de personas afrodescendientes esclavizadas trabajaron el ganado aprendiendo directamente las técnicas hispanomexicanas; tras la emancipación de 1865, representaron uno de cada cuatro vaqueros en los grandes arreos hacia el norte, destacando como domadores de </t>
    </r>
    <r>
      <rPr>
        <i/>
        <sz val="11"/>
        <color theme="1"/>
        <rFont val="Calibri"/>
        <family val="2"/>
        <scheme val="minor"/>
      </rPr>
      <t>broncos</t>
    </r>
    <r>
      <rPr>
        <sz val="11"/>
        <color theme="1"/>
        <rFont val="Calibri"/>
        <family val="2"/>
        <scheme val="minor"/>
      </rPr>
      <t>. En su autobiografía de 1907, Nat Love dejó testimonio directo de las durísimas faenas de doma en la frontera.</t>
    </r>
  </si>
  <si>
    <r>
      <t>"Monté a 'Good Eye' y supe lo que era un caballo reparador... pero me mantuve firme sobre él."</t>
    </r>
    <r>
      <rPr>
        <sz val="11"/>
        <color theme="1"/>
        <rFont val="Calibri"/>
        <family val="2"/>
        <scheme val="minor"/>
      </rPr>
      <t xml:space="preserve"> — Nat Love (1907)</t>
    </r>
  </si>
  <si>
    <r>
      <t>Surgido tras la Guerra de Secesión (1865) para conducir millones de reses Longhorn desde Texas hacia los ferrocarriles de Kansas, el cowboy anglosajón adoptó el oficio, las herramientas y el vocabulario hispano-mexicano (</t>
    </r>
    <r>
      <rPr>
        <i/>
        <sz val="11"/>
        <color theme="1"/>
        <rFont val="Calibri"/>
        <family val="2"/>
        <scheme val="minor"/>
      </rPr>
      <t>lariat, chaps, rodeo, mustang</t>
    </r>
    <r>
      <rPr>
        <sz val="11"/>
        <color theme="1"/>
        <rFont val="Calibri"/>
        <family val="2"/>
        <scheme val="minor"/>
      </rPr>
      <t xml:space="preserve">), sumando prendas industriales como el sombrero Stetson y el pantalón de mezclilla. En </t>
    </r>
    <r>
      <rPr>
        <i/>
        <sz val="11"/>
        <color theme="1"/>
        <rFont val="Calibri"/>
        <family val="2"/>
        <scheme val="minor"/>
      </rPr>
      <t>Ranch Life and the Hunting-Trail</t>
    </r>
    <r>
      <rPr>
        <sz val="11"/>
        <color theme="1"/>
        <rFont val="Calibri"/>
        <family val="2"/>
        <scheme val="minor"/>
      </rPr>
      <t xml:space="preserve"> (1888), Theodore Roosevelt documentó su dura vida en las praderas.</t>
    </r>
  </si>
  <si>
    <r>
      <t>"Hombres forjados a la intemperie; sombrero ancho, chaparreras de cuero y el lazo atado a la silla."</t>
    </r>
    <r>
      <rPr>
        <sz val="11"/>
        <color theme="1"/>
        <rFont val="Calibri"/>
        <family val="2"/>
        <scheme val="minor"/>
      </rPr>
      <t xml:space="preserve"> — Theodore Roosevelt (1888)</t>
    </r>
  </si>
  <si>
    <r>
      <t xml:space="preserve">A finales del siglo XIX y principios del XX, la indumentaria de los antiguos hacendados y chinacos se estilizó con botonaduras de plata, bordados artesanales y sombreros de ala ancha finamente galoneados, institucionalizándose la charrería como el deporte nacional de México. En </t>
    </r>
    <r>
      <rPr>
        <i/>
        <sz val="11"/>
        <color theme="1"/>
        <rFont val="Calibri"/>
        <family val="2"/>
        <scheme val="minor"/>
      </rPr>
      <t>El libro del charro mexicano</t>
    </r>
    <r>
      <rPr>
        <sz val="11"/>
        <color theme="1"/>
        <rFont val="Calibri"/>
        <family val="2"/>
        <scheme val="minor"/>
      </rPr>
      <t xml:space="preserve"> (1939), Carlos Rincón Gallardo codificó las reglas y la ética de esta tradición que elevó las faenas ganaderas a arte.</t>
    </r>
  </si>
  <si>
    <r>
      <t>"La cristalización de siglos de labor en el campo elevada a la tradición ecuestre nacional."</t>
    </r>
    <r>
      <rPr>
        <sz val="11"/>
        <color theme="1"/>
        <rFont val="Calibri"/>
        <family val="2"/>
        <scheme val="minor"/>
      </rPr>
      <t xml:space="preserve"> — C. Rincón Gallardo (1939)</t>
    </r>
  </si>
  <si>
    <r>
      <t xml:space="preserve">En 1832, el rey Kamehameha III contrató a vaqueros hispanomexicanos (llamados </t>
    </r>
    <r>
      <rPr>
        <i/>
        <sz val="11"/>
        <color theme="1"/>
        <rFont val="Calibri"/>
        <family val="2"/>
        <scheme val="minor"/>
      </rPr>
      <t>paniolos</t>
    </r>
    <r>
      <rPr>
        <sz val="11"/>
        <color theme="1"/>
        <rFont val="Calibri"/>
        <family val="2"/>
        <scheme val="minor"/>
      </rPr>
      <t xml:space="preserve"> por la pronunciación hawaiana de "españoles") para controlar el ganado salvaje que devastaba las islas. Los nativos adoptaron la silla mexicana y el lazo, fusionándolos con coronas de flores (</t>
    </r>
    <r>
      <rPr>
        <i/>
        <sz val="11"/>
        <color theme="1"/>
        <rFont val="Calibri"/>
        <family val="2"/>
        <scheme val="minor"/>
      </rPr>
      <t>lei</t>
    </r>
    <r>
      <rPr>
        <sz val="11"/>
        <color theme="1"/>
        <rFont val="Calibri"/>
        <family val="2"/>
        <scheme val="minor"/>
      </rPr>
      <t>); en 1875, la viajera británica Isabella Bird documentó su asombrosa destreza capturando toros en las laderas volcánicas.</t>
    </r>
  </si>
  <si>
    <r>
      <t>"Enseñados por vaqueros mexicanos, los nativos capturan ganado salvaje en los bosques volcánicos."</t>
    </r>
    <r>
      <rPr>
        <sz val="11"/>
        <color theme="1"/>
        <rFont val="Calibri"/>
        <family val="2"/>
        <scheme val="minor"/>
      </rPr>
      <t xml:space="preserve"> — Isabella Bird (1875)</t>
    </r>
  </si>
  <si>
    <t>Columna1</t>
  </si>
  <si>
    <t>Raíz / Etnicidad</t>
  </si>
  <si>
    <t>Ibérico Antiguo</t>
  </si>
  <si>
    <t>Hispano-Árabe / Norafricano</t>
  </si>
  <si>
    <t>Español (Ibérico)</t>
  </si>
  <si>
    <t>Portugués (Ibérico)</t>
  </si>
  <si>
    <t>Mestizo / Afro / Indígena</t>
  </si>
  <si>
    <t>Criollo / Mestizo / Afro</t>
  </si>
  <si>
    <t>Mestizo / Indígena / Afro</t>
  </si>
  <si>
    <t>Mestizo / Criollo</t>
  </si>
  <si>
    <t>Angloamericano</t>
  </si>
  <si>
    <t>Nativo Hawaiano / Mestizo</t>
  </si>
  <si>
    <t>Afrodescendiente</t>
  </si>
  <si>
    <t>Mestizo / Indígena</t>
  </si>
  <si>
    <t>Mestizo / Criollo / Afro</t>
  </si>
  <si>
    <t>Indígena / Nativo</t>
  </si>
  <si>
    <t>Mestizo Andino</t>
  </si>
  <si>
    <t>Detalle del Mestizaje y Origen</t>
  </si>
  <si>
    <t>Pueblos íberos, celtíberos y lusitanos prerromanos</t>
  </si>
  <si>
    <t>Fusión de pueblos bereberes, árabes e hispanos peninsulares</t>
  </si>
  <si>
    <t>Español peninsular de Andalucía y Extremadura</t>
  </si>
  <si>
    <t>Portugués peninsular de la cuenca del río Tajo</t>
  </si>
  <si>
    <t>Primer mestizaje americano entre españoles, afrodescendientes e indígenas taínos</t>
  </si>
  <si>
    <t>Descendientes de españoles (especialmente canarios), mestizos y afrodescendientes</t>
  </si>
  <si>
    <t>Mestizos, indígenas (tlaxcaltecas, otomíes, chichimecas), afrodescendientes y españoles</t>
  </si>
  <si>
    <t>Mestizaje entre colonos portugueses, pueblos indígenas (tupí, tapuia) y afrodescendientes</t>
  </si>
  <si>
    <t>Mestizaje hispano entre indígenas centroamericanos (chorotegas, nahuas), afrodescendientes y españoles</t>
  </si>
  <si>
    <t>Mestizos, criollos, indígenas costeños y una importante presencia de jinetes afroperuanos</t>
  </si>
  <si>
    <t>Mestizaje directo entre jinetes españoles (andaluces) y pueblos indígenas quechuas</t>
  </si>
  <si>
    <t>Mestizaje entre españoles y pueblos indígenas kichwas de la sierra ecuatoriana</t>
  </si>
  <si>
    <t>Mestizaje profundo entre indígenas de los llanos (achaguas, guahibos), afrodescendientes y españoles</t>
  </si>
  <si>
    <t>Mestizaje entre españoles, portugueses, pueblos indígenas (charrúas, pampas, guaraníes) y afrodescendientes</t>
  </si>
  <si>
    <t>Mestizaje entre españoles y pueblos indígenas (picunches y mapuches)</t>
  </si>
  <si>
    <t>Pueblos originarios americanos (comanches, apaches, lakotas, nez percé, tehuelches)</t>
  </si>
  <si>
    <t>Mestizos y criollos mexicanos herederos de la tradición ecuestre de las haciendas</t>
  </si>
  <si>
    <t>Estadounidenses de origen británico e inmigrantes europeos del norte</t>
  </si>
  <si>
    <t>Nativos hawaianos (polinesios) y su mestizaje con los vaqueros hispanomexicanos</t>
  </si>
  <si>
    <t>Afroamericanos en Texas, afro-seminolas (mascogos) y mestizos afro-indígenas</t>
  </si>
  <si>
    <t>Mestizos, indígenas y afrodescendientes de las zonas rurales y haciendas de México</t>
  </si>
  <si>
    <t>Mestizos novohispanos, criollos, indígenas locales y afrodescendientes</t>
  </si>
  <si>
    <t>Mestizaje entre pueblos indígenas del Pantanal (guaicurúes, bororos, terenas), paraguayos y brasileños</t>
  </si>
  <si>
    <t>Mestizaje entre luso-brasileños, hispanos, indígenas (guaraníes, charrúas) y afrobrasileños</t>
  </si>
  <si>
    <t>Presencia Femenina Regional</t>
  </si>
  <si>
    <t>Jinetes celtíberas (documentadas en crónicas clásicas)</t>
  </si>
  <si>
    <t>Nobleza ecuestre andalusí y castellana</t>
  </si>
  <si>
    <t>Amazona andaluza (monta a la vaquera)</t>
  </si>
  <si>
    <t>Campina / Lavradeira ribatejana</t>
  </si>
  <si>
    <t>Monteras y mujeres de hatos caribeños</t>
  </si>
  <si>
    <t>Guajira cubana (jinete rural de sabana)</t>
  </si>
  <si>
    <t>Estancieras y mujeres de a caballo novohispanas</t>
  </si>
  <si>
    <t>Mulher Sertaneja / Vaqueira da Caatinga</t>
  </si>
  <si>
    <t>Sabanera guanacasteca y nicaragüense</t>
  </si>
  <si>
    <t>Amazona de caballo de paso peruano</t>
  </si>
  <si>
    <t>Mujer Morochuca (jinete altoandina de Ayacucho)</t>
  </si>
  <si>
    <t>Warmi Chagra (mujer de páramo a caballo)</t>
  </si>
  <si>
    <t>Llanera colombo-venezolana (jinete de sabana)</t>
  </si>
  <si>
    <t>Paisana / Gaucha pampeana</t>
  </si>
  <si>
    <t>Huasa chilena (amazona de rodeo y corralera)</t>
  </si>
  <si>
    <r>
      <t xml:space="preserve">Mujeres guerreras y jinetes nativas (ej. </t>
    </r>
    <r>
      <rPr>
        <i/>
        <sz val="11"/>
        <color theme="1"/>
        <rFont val="Calibri"/>
        <family val="2"/>
        <scheme val="minor"/>
      </rPr>
      <t>Lozen</t>
    </r>
    <r>
      <rPr>
        <sz val="11"/>
        <color theme="1"/>
        <rFont val="Calibri"/>
        <family val="2"/>
        <scheme val="minor"/>
      </rPr>
      <t xml:space="preserve">, </t>
    </r>
    <r>
      <rPr>
        <i/>
        <sz val="11"/>
        <color theme="1"/>
        <rFont val="Calibri"/>
        <family val="2"/>
        <scheme val="minor"/>
      </rPr>
      <t>Buffalo Calf Road Woman</t>
    </r>
    <r>
      <rPr>
        <sz val="11"/>
        <color theme="1"/>
        <rFont val="Calibri"/>
        <family val="2"/>
        <scheme val="minor"/>
      </rPr>
      <t>)</t>
    </r>
  </si>
  <si>
    <t>Prenda gaúcha (jinete tradicional del sur de Brasil)</t>
  </si>
  <si>
    <t>Comitiveira / Mulher Pantaneira</t>
  </si>
  <si>
    <t>Ranchera Californiana y Tejana (propietarias y jinetes)</t>
  </si>
  <si>
    <t>Chinaca (guerrillera y jinete rural del siglo XIX)</t>
  </si>
  <si>
    <r>
      <t xml:space="preserve">Black Cowgirls (ej. </t>
    </r>
    <r>
      <rPr>
        <i/>
        <sz val="11"/>
        <color theme="1"/>
        <rFont val="Calibri"/>
        <family val="2"/>
        <scheme val="minor"/>
      </rPr>
      <t>Johanna July</t>
    </r>
    <r>
      <rPr>
        <sz val="11"/>
        <color theme="1"/>
        <rFont val="Calibri"/>
        <family val="2"/>
        <scheme val="minor"/>
      </rPr>
      <t xml:space="preserve">, </t>
    </r>
    <r>
      <rPr>
        <i/>
        <sz val="11"/>
        <color theme="1"/>
        <rFont val="Calibri"/>
        <family val="2"/>
        <scheme val="minor"/>
      </rPr>
      <t>Mary Fields</t>
    </r>
    <r>
      <rPr>
        <sz val="11"/>
        <color theme="1"/>
        <rFont val="Calibri"/>
        <family val="2"/>
        <scheme val="minor"/>
      </rPr>
      <t>)</t>
    </r>
  </si>
  <si>
    <r>
      <t xml:space="preserve">Wahine Paniolo (jinetes hawaianas de falda </t>
    </r>
    <r>
      <rPr>
        <i/>
        <sz val="11"/>
        <color theme="1"/>
        <rFont val="Calibri"/>
        <family val="2"/>
        <scheme val="minor"/>
      </rPr>
      <t>pāʻū</t>
    </r>
    <r>
      <rPr>
        <sz val="11"/>
        <color theme="1"/>
        <rFont val="Calibri"/>
        <family val="2"/>
        <scheme val="minor"/>
      </rPr>
      <t>)</t>
    </r>
  </si>
  <si>
    <t>Adelita revolucionaria y Escaramuza Charra</t>
  </si>
  <si>
    <r>
      <t xml:space="preserve">Ranch Woman / Rodeo Cowgirl (ej. </t>
    </r>
    <r>
      <rPr>
        <i/>
        <sz val="11"/>
        <color theme="1"/>
        <rFont val="Calibri"/>
        <family val="2"/>
        <scheme val="minor"/>
      </rPr>
      <t>Margaret Borland</t>
    </r>
    <r>
      <rPr>
        <sz val="11"/>
        <color theme="1"/>
        <rFont val="Calibri"/>
        <family val="2"/>
        <scheme val="minor"/>
      </rPr>
      <t xml:space="preserve">, </t>
    </r>
    <r>
      <rPr>
        <i/>
        <sz val="11"/>
        <color theme="1"/>
        <rFont val="Calibri"/>
        <family val="2"/>
        <scheme val="minor"/>
      </rPr>
      <t>Lucille Mulhall</t>
    </r>
    <r>
      <rPr>
        <sz val="11"/>
        <color theme="1"/>
        <rFont val="Calibri"/>
        <family val="2"/>
        <scheme val="minor"/>
      </rPr>
      <t>)</t>
    </r>
  </si>
  <si>
    <t>Caballo Ibérico Primitivo (Sorraia y Asturcón)</t>
  </si>
  <si>
    <t>Caballo Hispano-Bereber y Berberisco</t>
  </si>
  <si>
    <t>Caballo Pura Raza Española / Andaluz / Cartujano</t>
  </si>
  <si>
    <t>Caballo Lusitano (Altisidora / Sorraia)</t>
  </si>
  <si>
    <t>Caballo Ibérico Colonial (Berberisco y Andaluz asilvestrado)</t>
  </si>
  <si>
    <t>Caballo Criollo Cubano (Derivado del Ibérico andaluz)</t>
  </si>
  <si>
    <t>Caballo Ibérico Colonial / Mexicans y Criollos de la Mesta</t>
  </si>
  <si>
    <t>Caballo Criollo del Nordeste / Pé Duro</t>
  </si>
  <si>
    <t>Caballo Criollo Centroamericano (Mestizo ibérico)</t>
  </si>
  <si>
    <t>Caballo Morochuco (Serrano de altura, base ibérica)</t>
  </si>
  <si>
    <t>Caballo Criollo de Páramo (Ecuatoriano de altura)</t>
  </si>
  <si>
    <t>Caballo Criollo Llanero (Cimarrón e Ibérico)</t>
  </si>
  <si>
    <t>Caballo Criollo Sudamericano (Pampa / Criollo argentino-uruguayo)</t>
  </si>
  <si>
    <t>Caballo Chileno (Cortero / Criollo de la zona central)</t>
  </si>
  <si>
    <t>Mustang (Descendiente ibérico asilvestrado)</t>
  </si>
  <si>
    <t>Caballo Criollo Riograndense (Campero del sur de Brasil)</t>
  </si>
  <si>
    <t>Caballo Pantaneiro (Anfibio del Mato Grosso)</t>
  </si>
  <si>
    <t>Caballo Californio y Mustang colonial</t>
  </si>
  <si>
    <t>Caballo Tres Sangres / Mestizo militar mexicano</t>
  </si>
  <si>
    <t>Mustang y caballos broncos de la frontera</t>
  </si>
  <si>
    <t>Caballo Hawaiano / Paniolo (Mestizo ibérico-polinesio)</t>
  </si>
  <si>
    <t>Quarter Horse y Mustang de trabajo</t>
  </si>
  <si>
    <t>Caballo Azteca y Pura Raza Española / Cuarto de Milla</t>
  </si>
  <si>
    <t>Estrabón (Geografía, III); Polibio (Historias); Salustio (Fragmentos); Quesada Sanz (1997).</t>
  </si>
  <si>
    <t>Bernardo de Vargas Machuca (1599); Bishko (1952); Tapia (1580).</t>
  </si>
  <si>
    <t>Richard Ford (1846); Bishko (1952); Jordan (1993).</t>
  </si>
  <si>
    <t>Alves Redol (1939); Câmara Cascudo (1954).</t>
  </si>
  <si>
    <t>Gonzalo Fernández de Oviedo (1535); Moya Pons (2008).</t>
  </si>
  <si>
    <t>Samuel Hazard (1871); Le Riverend (1967); Slatta (1990).</t>
  </si>
  <si>
    <t>Actas de Cabildo de la Ciudad de México (1537); Chevalier (1952); Álvarez del Villar (1941).</t>
  </si>
  <si>
    <t>Thomas Gage (1648); Edelman (1992); Gudmundson (1983).</t>
  </si>
  <si>
    <t>Bernabé Cobo (Historia del Nuevo Mundo, 1653); Luna de la Fuente (1985); Del Busto Duthurburu (2001).</t>
  </si>
  <si>
    <t>Ricardo Palma (Tradiciones Peruanas, 1872); Aguirre Cárdenas (2017); Cavero (1953).</t>
  </si>
  <si>
    <t>Friedrich Hassaurek (1867); Caiza &amp; Taipe (2021); Corral (2015).</t>
  </si>
  <si>
    <t>Ramón Páez (Wild Scenes in South America, 1862); Izard (1986); Slatta (1990).</t>
  </si>
  <si>
    <t>José Hernández (El Gaucho Martín Fierro, 1872); Assunção (1976); Coni (1945).</t>
  </si>
  <si>
    <t>Alonso de Ovalle (Histórica relación del Reyno de Chile, 1646); Tomás Lago (1953); Encina (1940).</t>
  </si>
  <si>
    <t>George Catlin (Letters and Notes, 1841); Hämäläinen (The Comanche Empire, 2008); Ewers (1955).</t>
  </si>
  <si>
    <t>João Simões Lopes Neto (Contos Gauchescos, 1912); Saint-Hilaire (1820); Assunção (1978); Lessa (1985).</t>
  </si>
  <si>
    <t>Theodore Roosevelt &amp; Cândido Rondon (1914); Proença (1997); Mazza et al. (EMBRAPA, 1994).</t>
  </si>
  <si>
    <t>Richard Henry Dana (Two Years Before the Mast, 1840); Mora (1949); Sargent (2022); De la Teja (1995).</t>
  </si>
  <si>
    <t>Luis G. Inclán (Astucia, 1865); Álvarez del Villar (1941); Miranda (2020).</t>
  </si>
  <si>
    <t>Nat Love (Autobiography, 1907); Durham &amp; Jones (1965); Sluyter (2012).</t>
  </si>
  <si>
    <t>Isabella Bird (1875); Fischer (2007); Bergin (Loyal to the Land, 2004).</t>
  </si>
  <si>
    <t>Theodore Roosevelt (Ranch Life and the Hunting-Trail, 1888); Jordan (1993); Slatta (1990).</t>
  </si>
  <si>
    <t>Carlos Rincón Gallardo (El libro del charro mexicano, 1939); Álvarez del Villar (1941).</t>
  </si>
  <si>
    <r>
      <t>"Hatos de miles de cabezas que los monteros a caballo desjarretan por los cueros y el sebo."</t>
    </r>
    <r>
      <rPr>
        <sz val="11"/>
        <color theme="1"/>
        <rFont val="Calibri"/>
        <family val="2"/>
        <scheme val="minor"/>
      </rPr>
      <t xml:space="preserve"> — G. Fernández de Oviedo (1535)</t>
    </r>
  </si>
  <si>
    <t>Indumentaria Femenina</t>
  </si>
  <si>
    <t>Falda larga de paño o lino y túnica ajustada para montar a mujeriegas.</t>
  </si>
  <si>
    <t>Toca o velo andalusí, jubón bordado y saya larga para la nobleza ecuestre.</t>
  </si>
  <si>
    <t>Falda larga de vuelo, mantón de manila o pañuelo y botines de tacón bajo.</t>
  </si>
  <si>
    <t>Falda de bayeta o lana gruesa, blusa de lino, chaleco y barrete o pañuelo a la cabeza.</t>
  </si>
  <si>
    <t>Falda de algodón o lino rústico, pañuelo de cabeza y camisa ligera de trabajo.</t>
  </si>
  <si>
    <t>Falda amplia de percal o algodón, blusa ligera y sombrero de yarey de ala ancha.</t>
  </si>
  <si>
    <t>Falda larga de percal con pliegues, blusa de cuello alto y rebozo tradicional mexicano.</t>
  </si>
  <si>
    <t>Falda larga de algodón grueso, blusa de manga larga y pañuelo protector contra espinas.</t>
  </si>
  <si>
    <t>Falda larga de percal, blusa campesina de algodón y pañuelo o sombrero de palma.</t>
  </si>
  <si>
    <t>Falda larga de algodón, blusa fina y mantilla o sombrero para el sol de la costa.</t>
  </si>
  <si>
    <t>Falda gruesa de bayeta andina, blusa abrigada, manta de lana y montera tradicional.</t>
  </si>
  <si>
    <t>Falda de lana pesada, poncho o chal andino y zamarros de borrego para el páramo.</t>
  </si>
  <si>
    <t>Falda larga de holán o percal, blusa ligera de manga larga y pañuelo para la sabana.</t>
  </si>
  <si>
    <t>Falda de merino o percal, chiripá adaptado o enagua, pañuelo y botas de potro.</t>
  </si>
  <si>
    <t>Falda larga de percal, manta o chamanto corto, y chupalla o sombrero de huasa.</t>
  </si>
  <si>
    <t>Túnica de piel de ante o gamusa decorada con cuentas, mocasines y polainas de cuero.</t>
  </si>
  <si>
    <t>Falda larga de percal, bombacha adaptada, poncho de lana y sombrero con barboquejo.</t>
  </si>
  <si>
    <t>Falda resistente al agua, blusa de algodón y sombrero de ala ancha para el estero.</t>
  </si>
  <si>
    <t>Falda larga de lino o percal, blusa de cuello alto, chaleco corto y sombrero vaquero.</t>
  </si>
  <si>
    <t>Falda larga de percal, blusa de manta, rebozo y calzonera o enagua de labor rural.</t>
  </si>
  <si>
    <t>Falda de trabajo resistente, camisa de algodón de cuello alto y pañuelo de cuello.</t>
  </si>
  <si>
    <t>Falda larga tradicional hawaiana (pāʻū) de colores y flores lei para montar a caballo.</t>
  </si>
  <si>
    <t>Falda dividida de lona o cuero (split skirt), camisa de trabajo y sombrero Stetson.</t>
  </si>
  <si>
    <t>Falda de percal con múltiples volantes, blusa de encaje, rebozo cruzado y sombrero charro.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</si>
</sst>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i/>
      <sz val="11"/>
      <color theme="1"/>
      <name val="Calibri"/>
      <family val="2"/>
      <scheme val="minor"/>
    </font>
    <font>
      <u/>
      <sz val="11"/>
      <color theme="1"/>
      <name val="Calibri"/>
      <family val="2"/>
      <scheme val="minor"/>
    </font>
    <font>
      <sz val="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diagonal/>
    </border>
  </borders>
  <cellStyleXfs count="1">
    <xf numFmtId="0" fontId="0" fillId="0" borderId="0"/>
  </cellStyleXfs>
  <cellXfs count="12">
    <xf numFmtId="0" fontId="0" fillId="0" borderId="0" xfId="0"/>
    <xf numFmtId="0" fontId="0" fillId="0" borderId="0" xfId="0" applyFont="1" applyBorder="1" applyAlignment="1">
      <alignment horizontal="center" vertical="top"/>
    </xf>
    <xf numFmtId="0" fontId="0" fillId="0" borderId="0" xfId="0" applyFont="1" applyAlignment="1">
      <alignment horizontal="center"/>
    </xf>
    <xf numFmtId="0" fontId="0" fillId="0" borderId="0" xfId="0" applyFont="1" applyAlignment="1"/>
    <xf numFmtId="0" fontId="1" fillId="0" borderId="0" xfId="0" applyFont="1" applyBorder="1" applyAlignment="1">
      <alignment horizontal="left" vertical="top"/>
    </xf>
    <xf numFmtId="0" fontId="1" fillId="0" borderId="1" xfId="0" applyFont="1" applyBorder="1" applyAlignment="1">
      <alignment horizontal="left" vertical="top"/>
    </xf>
    <xf numFmtId="0" fontId="0" fillId="0" borderId="0" xfId="0" applyAlignment="1"/>
    <xf numFmtId="0" fontId="0" fillId="0" borderId="0" xfId="0" applyFont="1" applyAlignment="1">
      <alignment horizontal="left"/>
    </xf>
    <xf numFmtId="0" fontId="0" fillId="0" borderId="0" xfId="0" applyAlignment="1">
      <alignment horizontal="left"/>
    </xf>
    <xf numFmtId="0" fontId="0" fillId="0" borderId="0" xfId="0" applyBorder="1" applyAlignment="1"/>
    <xf numFmtId="0" fontId="2" fillId="0" borderId="0" xfId="0" applyFont="1" applyAlignment="1"/>
    <xf numFmtId="0" fontId="3" fillId="0" borderId="0" xfId="0" applyFont="1" applyAlignment="1"/>
  </cellXfs>
  <cellStyles count="1">
    <cellStyle name="Normal" xfId="0" builtinId="0"/>
  </cellStyles>
  <dxfs count="36">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horizontal="lef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numFmt numFmtId="0" formatCode="General"/>
      <alignment horizontal="general" vertical="bottom" textRotation="0" wrapText="0" indent="0" justifyLastLine="0" shrinkToFit="0" readingOrder="0"/>
    </dxf>
    <dxf>
      <alignment textRotation="0" wrapText="0" indent="0" justifyLastLine="0" shrinkToFit="0" readingOrder="0"/>
    </dxf>
    <dxf>
      <font>
        <b val="0"/>
      </font>
      <alignment horizontal="center" vertical="bottom" textRotation="0" wrapText="0" indent="0" justifyLastLine="0" shrinkToFit="0" readingOrder="0"/>
    </dxf>
    <dxf>
      <border outline="0">
        <top style="thin">
          <color auto="1"/>
        </top>
      </border>
    </dxf>
    <dxf>
      <alignment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2172727-64BB-4D67-820D-DDEF298EC00C}" name="TablaVaquera" displayName="TablaVaquera" ref="A1:AG25" totalsRowShown="0" headerRowDxfId="35" dataDxfId="34" tableBorderDxfId="33">
  <autoFilter ref="A1:AG25" xr:uid="{42172727-64BB-4D67-820D-DDEF298EC00C}"/>
  <tableColumns count="33">
    <tableColumn id="1" xr3:uid="{5E237231-C259-4950-9AFC-6432806ECEC6}" name="#" dataDxfId="32"/>
    <tableColumn id="2" xr3:uid="{CBF60869-4F5A-438F-9670-DB840184E880}" name="Nombre Tradicional" dataDxfId="31"/>
    <tableColumn id="33" xr3:uid="{86BAFFB2-E0B8-43FE-8BC5-5840388DC1FB}" name="Columna1" dataDxfId="30">
      <calculatedColumnFormula>CONCATENATE(TablaVaquera[[#This Row],[Nombre Tradicional]],"-Mujer")</calculatedColumnFormula>
    </tableColumn>
    <tableColumn id="3" xr3:uid="{F54EB4ED-771E-4698-BFA6-82E7D518557C}" name="Arquetipo" dataDxfId="29"/>
    <tableColumn id="29" xr3:uid="{54C31FB0-8317-4592-9BE4-4CB4553FCDCC}" name="Raíz / Etnicidad" dataDxfId="28"/>
    <tableColumn id="30" xr3:uid="{DEB7D2EA-990D-4E62-B6A2-84B981CC6128}" name="Detalle del Mestizaje y Origen" dataDxfId="27"/>
    <tableColumn id="31" xr3:uid="{2AFC2937-394E-454D-88FD-03B3E5C2BDB1}" name="Presencia Femenina Regional" dataDxfId="26"/>
    <tableColumn id="4" xr3:uid="{AEFA2CAE-B5F7-46C1-AEFC-A60F1A8A5240}" name="País" dataDxfId="25"/>
    <tableColumn id="5" xr3:uid="{80FD2A22-3BD0-4289-A18F-52DB78B835D1}" name="Región" dataDxfId="24"/>
    <tableColumn id="6" xr3:uid="{8B36A688-CAEB-45AE-8AF5-6D781A815A70}" name="Bioma / Entorno" dataDxfId="23"/>
    <tableColumn id="7" xr3:uid="{07D1D646-E270-4E1E-BC5E-1D5AA164FFD0}" name="Actividad Principal" dataDxfId="22"/>
    <tableColumn id="8" xr3:uid="{5C279054-BA3B-4199-8B3C-E9B6A3E383B0}" name="Periodo de Consolidación" dataDxfId="21"/>
    <tableColumn id="9" xr3:uid="{40EF2EBE-5A7B-419F-8DF5-F85FE134852E}" name="Año / Hito Clave" dataDxfId="20"/>
    <tableColumn id="10" xr3:uid="{B145DA8A-2F65-4E10-91A3-FC3961FBFDF1}" name="¿Qué documento o hecho histórico fija su posición aquí?" dataDxfId="19"/>
    <tableColumn id="11" xr3:uid="{521BDBA4-38A5-40EB-8DE4-1F2C62A518E9}" name="Sombrero" dataDxfId="18"/>
    <tableColumn id="12" xr3:uid="{6457F8DE-4C45-42CD-80BF-F97523EC33D0}" name="Camisa" dataDxfId="17"/>
    <tableColumn id="13" xr3:uid="{70A18AF3-EF54-4FB0-A4A1-BF7E818FC3D5}" name="Chaqueta / Chaleco" dataDxfId="16"/>
    <tableColumn id="14" xr3:uid="{8483F64D-AAB4-44C4-8DE3-DEE6A8161C0D}" name="Pantalón" dataDxfId="15"/>
    <tableColumn id="15" xr3:uid="{B1EDA63E-1913-4026-BCE7-63ED57C03F3D}" name="Calzado / Botas" dataDxfId="14"/>
    <tableColumn id="16" xr3:uid="{ACA78E59-11BD-439B-B1D7-2D4138B79257}" name="Chaparreras" dataDxfId="13"/>
    <tableColumn id="17" xr3:uid="{FC121E04-F7FC-4B2A-BDE0-5626B6D8595F}" name="Guantes" dataDxfId="12"/>
    <tableColumn id="18" xr3:uid="{03609CF2-3FC7-4384-896A-5499AC3EEEE1}" name="Cinturon / Faja" dataDxfId="11"/>
    <tableColumn id="19" xr3:uid="{A8670F26-1C90-4129-B58B-21D368E4DF9A}" name="Espuelas" dataDxfId="10"/>
    <tableColumn id="20" xr3:uid="{DB67E5FE-5E48-4DAA-B353-99972D6B4A29}" name="Lazo" dataDxfId="9"/>
    <tableColumn id="21" xr3:uid="{39D02FEE-D358-4AD3-B2F1-9CAA917E7C1B}" name="Montura" dataDxfId="8"/>
    <tableColumn id="22" xr3:uid="{99E44A1E-45B7-4BA7-B62D-CDADBA300FEC}" name="Raza de Caballo" dataDxfId="7"/>
    <tableColumn id="23" xr3:uid="{2364ED7F-1CD5-4A1E-BE04-530E78542D99}" name="Corbata (Bolo/Moño)" dataDxfId="6"/>
    <tableColumn id="24" xr3:uid="{9C62A6E6-7F09-4739-B23E-B11FB13D1C6B}" name="Caballo Histórico" dataDxfId="5"/>
    <tableColumn id="32" xr3:uid="{CFA89B3F-844F-4CB5-9E43-CFBCE0A7836B}" name="Indumentaria Femenina" dataDxfId="4"/>
    <tableColumn id="25" xr3:uid="{16CE900D-4C97-4ECE-8572-65CDACE4ED7B}" name="Hito Técnico / Aporte Documentado" dataDxfId="3"/>
    <tableColumn id="26" xr3:uid="{CB3BC2A2-DA7D-4B86-B3D0-76D3D31DCF20}" name="Fuente Documental Clave" dataDxfId="2"/>
    <tableColumn id="27" xr3:uid="{C38060E6-8A8C-413E-AAC5-06F3436E4ABD}" name="Resumenes de textos" dataDxfId="1"/>
    <tableColumn id="28" xr3:uid="{B4F8752B-79A7-45AF-8427-3AA45808CF10}" name="Tooltip" dataDxfId="0"/>
  </tableColumns>
  <tableStyleInfo name="TableStyleLight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25"/>
  <sheetViews>
    <sheetView tabSelected="1" topLeftCell="AE1" zoomScale="85" zoomScaleNormal="85" workbookViewId="0">
      <selection activeCell="AG1" sqref="AG1"/>
    </sheetView>
  </sheetViews>
  <sheetFormatPr baseColWidth="10" defaultColWidth="9.140625" defaultRowHeight="15" x14ac:dyDescent="0.25"/>
  <cols>
    <col min="1" max="1" width="5.140625" style="2" customWidth="1"/>
    <col min="2" max="2" width="25.85546875" style="6" bestFit="1" customWidth="1"/>
    <col min="3" max="3" width="35.140625" style="6" customWidth="1"/>
    <col min="4" max="4" width="36" style="6" customWidth="1"/>
    <col min="5" max="5" width="30.85546875" style="6" customWidth="1"/>
    <col min="6" max="6" width="36.5703125" style="6" customWidth="1"/>
    <col min="7" max="7" width="35.7109375" style="6" customWidth="1"/>
    <col min="8" max="8" width="19.28515625" style="6" customWidth="1"/>
    <col min="9" max="9" width="18.42578125" style="6" customWidth="1"/>
    <col min="10" max="10" width="21.28515625" style="6" customWidth="1"/>
    <col min="11" max="11" width="26.5703125" style="6" customWidth="1"/>
    <col min="12" max="12" width="32" style="6" customWidth="1"/>
    <col min="13" max="13" width="25.42578125" style="8" customWidth="1"/>
    <col min="14" max="14" width="58.7109375" style="6" customWidth="1"/>
    <col min="15" max="15" width="16.28515625" style="6" customWidth="1"/>
    <col min="16" max="16" width="14.28515625" style="6" customWidth="1"/>
    <col min="17" max="17" width="31.28515625" style="6" customWidth="1"/>
    <col min="18" max="18" width="16.42578125" style="6" customWidth="1"/>
    <col min="19" max="19" width="21.7109375" style="6" customWidth="1"/>
    <col min="20" max="20" width="17" style="6" customWidth="1"/>
    <col min="21" max="21" width="15" style="6" customWidth="1"/>
    <col min="22" max="22" width="22.7109375" style="6" customWidth="1"/>
    <col min="23" max="24" width="15" style="6" customWidth="1"/>
    <col min="25" max="25" width="17.140625" style="6" customWidth="1"/>
    <col min="26" max="26" width="20.140625" style="6" customWidth="1"/>
    <col min="27" max="27" width="27.7109375" style="6" customWidth="1"/>
    <col min="28" max="28" width="21.7109375" style="6" customWidth="1"/>
    <col min="29" max="29" width="92.42578125" style="6" customWidth="1"/>
    <col min="30" max="30" width="38.7109375" style="6" customWidth="1"/>
    <col min="31" max="31" width="29.42578125" style="6" customWidth="1"/>
    <col min="32" max="32" width="27.140625" style="6" customWidth="1"/>
    <col min="33" max="33" width="124.5703125" style="6" customWidth="1"/>
    <col min="34" max="16384" width="9.140625" style="6"/>
  </cols>
  <sheetData>
    <row r="1" spans="1:33" s="9" customFormat="1" x14ac:dyDescent="0.25">
      <c r="A1" s="1" t="s">
        <v>0</v>
      </c>
      <c r="B1" s="4" t="s">
        <v>1</v>
      </c>
      <c r="C1" s="4" t="s">
        <v>539</v>
      </c>
      <c r="D1" s="4" t="s">
        <v>2</v>
      </c>
      <c r="E1" s="4" t="s">
        <v>540</v>
      </c>
      <c r="F1" s="4" t="s">
        <v>556</v>
      </c>
      <c r="G1" s="4" t="s">
        <v>581</v>
      </c>
      <c r="H1" s="4" t="s">
        <v>3</v>
      </c>
      <c r="I1" s="4" t="s">
        <v>4</v>
      </c>
      <c r="J1" s="4" t="s">
        <v>5</v>
      </c>
      <c r="K1" s="4" t="s">
        <v>6</v>
      </c>
      <c r="L1" s="4" t="s">
        <v>7</v>
      </c>
      <c r="M1" s="4" t="s">
        <v>8</v>
      </c>
      <c r="N1" s="4" t="s">
        <v>9</v>
      </c>
      <c r="O1" s="4" t="s">
        <v>10</v>
      </c>
      <c r="P1" s="4" t="s">
        <v>11</v>
      </c>
      <c r="Q1" s="4" t="s">
        <v>12</v>
      </c>
      <c r="R1" s="4" t="s">
        <v>13</v>
      </c>
      <c r="S1" s="4" t="s">
        <v>14</v>
      </c>
      <c r="T1" s="4" t="s">
        <v>15</v>
      </c>
      <c r="U1" s="4" t="s">
        <v>16</v>
      </c>
      <c r="V1" s="4" t="s">
        <v>17</v>
      </c>
      <c r="W1" s="4" t="s">
        <v>18</v>
      </c>
      <c r="X1" s="4" t="s">
        <v>19</v>
      </c>
      <c r="Y1" s="4" t="s">
        <v>20</v>
      </c>
      <c r="Z1" s="4" t="s">
        <v>21</v>
      </c>
      <c r="AA1" s="4" t="s">
        <v>22</v>
      </c>
      <c r="AB1" s="4" t="s">
        <v>23</v>
      </c>
      <c r="AC1" s="4" t="s">
        <v>653</v>
      </c>
      <c r="AD1" s="4" t="s">
        <v>24</v>
      </c>
      <c r="AE1" s="4" t="s">
        <v>25</v>
      </c>
      <c r="AF1" s="5" t="s">
        <v>493</v>
      </c>
      <c r="AG1" s="5" t="s">
        <v>492</v>
      </c>
    </row>
    <row r="2" spans="1:33" s="3" customFormat="1" x14ac:dyDescent="0.25">
      <c r="A2" s="2">
        <v>1</v>
      </c>
      <c r="B2" s="3" t="s">
        <v>26</v>
      </c>
      <c r="C2" s="3" t="str">
        <f>CONCATENATE(TablaVaquera[[#This Row],[Nombre Tradicional]],"-Mujer")</f>
        <v>Jinete Íbero-Mujer</v>
      </c>
      <c r="D2" s="3" t="s">
        <v>47</v>
      </c>
      <c r="E2" s="3" t="s">
        <v>541</v>
      </c>
      <c r="F2" s="3" t="s">
        <v>557</v>
      </c>
      <c r="G2" s="3" t="s">
        <v>582</v>
      </c>
      <c r="H2" s="3" t="s">
        <v>63</v>
      </c>
      <c r="I2" s="3" t="s">
        <v>78</v>
      </c>
      <c r="J2" s="3" t="s">
        <v>99</v>
      </c>
      <c r="K2" s="3" t="s">
        <v>120</v>
      </c>
      <c r="L2" s="3" t="s">
        <v>141</v>
      </c>
      <c r="M2" s="7" t="s">
        <v>153</v>
      </c>
      <c r="N2" s="3" t="s">
        <v>173</v>
      </c>
      <c r="O2" s="3" t="s">
        <v>194</v>
      </c>
      <c r="P2" s="3" t="s">
        <v>215</v>
      </c>
      <c r="Q2" s="3" t="s">
        <v>231</v>
      </c>
      <c r="R2" s="3" t="s">
        <v>247</v>
      </c>
      <c r="S2" s="3" t="s">
        <v>268</v>
      </c>
      <c r="T2" s="3" t="s">
        <v>288</v>
      </c>
      <c r="U2" s="3" t="s">
        <v>300</v>
      </c>
      <c r="V2" s="3" t="s">
        <v>303</v>
      </c>
      <c r="W2" s="3" t="s">
        <v>288</v>
      </c>
      <c r="X2" s="3" t="s">
        <v>340</v>
      </c>
      <c r="Y2" s="3" t="s">
        <v>361</v>
      </c>
      <c r="Z2" s="3" t="s">
        <v>606</v>
      </c>
      <c r="AA2" s="3" t="s">
        <v>288</v>
      </c>
      <c r="AB2" s="3" t="s">
        <v>391</v>
      </c>
      <c r="AC2" s="6" t="s">
        <v>654</v>
      </c>
      <c r="AD2" s="3" t="s">
        <v>412</v>
      </c>
      <c r="AE2" s="3" t="s">
        <v>629</v>
      </c>
      <c r="AF2" s="3" t="s">
        <v>494</v>
      </c>
      <c r="AG2" s="3" t="s">
        <v>495</v>
      </c>
    </row>
    <row r="3" spans="1:33" x14ac:dyDescent="0.25">
      <c r="A3" s="2">
        <v>2</v>
      </c>
      <c r="B3" s="6" t="s">
        <v>27</v>
      </c>
      <c r="C3" s="6" t="str">
        <f>CONCATENATE(TablaVaquera[[#This Row],[Nombre Tradicional]],"-Mujer")</f>
        <v>Jinete Andalusí-Mujer</v>
      </c>
      <c r="D3" s="6" t="s">
        <v>48</v>
      </c>
      <c r="E3" s="6" t="s">
        <v>542</v>
      </c>
      <c r="F3" s="6" t="s">
        <v>558</v>
      </c>
      <c r="G3" s="6" t="s">
        <v>583</v>
      </c>
      <c r="H3" s="6" t="s">
        <v>64</v>
      </c>
      <c r="I3" s="6" t="s">
        <v>79</v>
      </c>
      <c r="J3" s="6" t="s">
        <v>100</v>
      </c>
      <c r="K3" s="6" t="s">
        <v>121</v>
      </c>
      <c r="L3" s="6" t="s">
        <v>142</v>
      </c>
      <c r="M3" s="8" t="s">
        <v>154</v>
      </c>
      <c r="N3" s="6" t="s">
        <v>174</v>
      </c>
      <c r="O3" s="6" t="s">
        <v>195</v>
      </c>
      <c r="P3" s="6" t="s">
        <v>216</v>
      </c>
      <c r="Q3" s="6" t="s">
        <v>232</v>
      </c>
      <c r="R3" s="6" t="s">
        <v>248</v>
      </c>
      <c r="S3" s="6" t="s">
        <v>269</v>
      </c>
      <c r="T3" s="6" t="s">
        <v>288</v>
      </c>
      <c r="U3" s="6" t="s">
        <v>288</v>
      </c>
      <c r="V3" s="6" t="s">
        <v>304</v>
      </c>
      <c r="W3" s="6" t="s">
        <v>321</v>
      </c>
      <c r="X3" s="6" t="s">
        <v>341</v>
      </c>
      <c r="Y3" s="6" t="s">
        <v>362</v>
      </c>
      <c r="Z3" s="6" t="s">
        <v>607</v>
      </c>
      <c r="AA3" s="6" t="s">
        <v>288</v>
      </c>
      <c r="AB3" s="6" t="s">
        <v>392</v>
      </c>
      <c r="AC3" s="6" t="s">
        <v>655</v>
      </c>
      <c r="AD3" s="6" t="s">
        <v>413</v>
      </c>
      <c r="AE3" s="6" t="s">
        <v>630</v>
      </c>
      <c r="AF3" s="6" t="s">
        <v>496</v>
      </c>
      <c r="AG3" s="6" t="s">
        <v>497</v>
      </c>
    </row>
    <row r="4" spans="1:33" x14ac:dyDescent="0.25">
      <c r="A4" s="2">
        <v>3</v>
      </c>
      <c r="B4" s="6" t="s">
        <v>28</v>
      </c>
      <c r="C4" s="6" t="str">
        <f>CONCATENATE(TablaVaquera[[#This Row],[Nombre Tradicional]],"-Mujer")</f>
        <v>Vaquero Andaluz-Mujer</v>
      </c>
      <c r="D4" s="6" t="s">
        <v>49</v>
      </c>
      <c r="E4" s="6" t="s">
        <v>543</v>
      </c>
      <c r="F4" s="6" t="s">
        <v>559</v>
      </c>
      <c r="G4" s="6" t="s">
        <v>584</v>
      </c>
      <c r="H4" s="6" t="s">
        <v>64</v>
      </c>
      <c r="I4" s="6" t="s">
        <v>80</v>
      </c>
      <c r="J4" s="6" t="s">
        <v>101</v>
      </c>
      <c r="K4" s="6" t="s">
        <v>122</v>
      </c>
      <c r="L4" s="6" t="s">
        <v>143</v>
      </c>
      <c r="M4" s="8" t="s">
        <v>155</v>
      </c>
      <c r="N4" s="6" t="s">
        <v>175</v>
      </c>
      <c r="O4" s="6" t="s">
        <v>196</v>
      </c>
      <c r="P4" s="6" t="s">
        <v>217</v>
      </c>
      <c r="Q4" s="6" t="s">
        <v>233</v>
      </c>
      <c r="R4" s="6" t="s">
        <v>249</v>
      </c>
      <c r="S4" s="6" t="s">
        <v>270</v>
      </c>
      <c r="T4" s="6" t="s">
        <v>289</v>
      </c>
      <c r="U4" s="6" t="s">
        <v>288</v>
      </c>
      <c r="V4" s="6" t="s">
        <v>305</v>
      </c>
      <c r="W4" s="6" t="s">
        <v>322</v>
      </c>
      <c r="X4" s="6" t="s">
        <v>342</v>
      </c>
      <c r="Y4" s="6" t="s">
        <v>363</v>
      </c>
      <c r="Z4" s="6" t="s">
        <v>608</v>
      </c>
      <c r="AA4" s="6" t="s">
        <v>288</v>
      </c>
      <c r="AB4" s="6" t="s">
        <v>393</v>
      </c>
      <c r="AC4" s="6" t="s">
        <v>656</v>
      </c>
      <c r="AD4" s="6" t="s">
        <v>414</v>
      </c>
      <c r="AE4" s="6" t="s">
        <v>631</v>
      </c>
      <c r="AF4" s="6" t="s">
        <v>498</v>
      </c>
      <c r="AG4" s="6" t="s">
        <v>499</v>
      </c>
    </row>
    <row r="5" spans="1:33" x14ac:dyDescent="0.25">
      <c r="A5" s="2">
        <v>4</v>
      </c>
      <c r="B5" s="6" t="s">
        <v>29</v>
      </c>
      <c r="C5" s="6" t="str">
        <f>CONCATENATE(TablaVaquera[[#This Row],[Nombre Tradicional]],"-Mujer")</f>
        <v>Campino do Ribatejo-Mujer</v>
      </c>
      <c r="D5" s="6" t="s">
        <v>29</v>
      </c>
      <c r="E5" s="6" t="s">
        <v>544</v>
      </c>
      <c r="F5" s="6" t="s">
        <v>560</v>
      </c>
      <c r="G5" s="6" t="s">
        <v>585</v>
      </c>
      <c r="H5" s="6" t="s">
        <v>65</v>
      </c>
      <c r="I5" s="6" t="s">
        <v>81</v>
      </c>
      <c r="J5" s="6" t="s">
        <v>102</v>
      </c>
      <c r="K5" s="6" t="s">
        <v>123</v>
      </c>
      <c r="L5" s="6" t="s">
        <v>143</v>
      </c>
      <c r="M5" s="8" t="s">
        <v>156</v>
      </c>
      <c r="N5" s="6" t="s">
        <v>176</v>
      </c>
      <c r="O5" s="6" t="s">
        <v>197</v>
      </c>
      <c r="P5" s="6" t="s">
        <v>217</v>
      </c>
      <c r="Q5" s="6" t="s">
        <v>234</v>
      </c>
      <c r="R5" s="6" t="s">
        <v>250</v>
      </c>
      <c r="S5" s="6" t="s">
        <v>271</v>
      </c>
      <c r="T5" s="6" t="s">
        <v>288</v>
      </c>
      <c r="U5" s="6" t="s">
        <v>288</v>
      </c>
      <c r="V5" s="6" t="s">
        <v>306</v>
      </c>
      <c r="W5" s="6" t="s">
        <v>323</v>
      </c>
      <c r="X5" s="6" t="s">
        <v>343</v>
      </c>
      <c r="Y5" s="6" t="s">
        <v>364</v>
      </c>
      <c r="Z5" s="6" t="s">
        <v>609</v>
      </c>
      <c r="AA5" s="6" t="s">
        <v>288</v>
      </c>
      <c r="AB5" s="6" t="s">
        <v>394</v>
      </c>
      <c r="AC5" s="6" t="s">
        <v>657</v>
      </c>
      <c r="AD5" s="6" t="s">
        <v>415</v>
      </c>
      <c r="AE5" s="6" t="s">
        <v>632</v>
      </c>
      <c r="AF5" s="6" t="s">
        <v>500</v>
      </c>
      <c r="AG5" s="6" t="s">
        <v>501</v>
      </c>
    </row>
    <row r="6" spans="1:33" x14ac:dyDescent="0.25">
      <c r="A6" s="2">
        <v>5</v>
      </c>
      <c r="B6" s="6" t="s">
        <v>30</v>
      </c>
      <c r="C6" s="6" t="str">
        <f>CONCATENATE(TablaVaquera[[#This Row],[Nombre Tradicional]],"-Mujer")</f>
        <v>Hatero-Mujer</v>
      </c>
      <c r="D6" s="6" t="s">
        <v>50</v>
      </c>
      <c r="E6" s="6" t="s">
        <v>545</v>
      </c>
      <c r="F6" s="6" t="s">
        <v>561</v>
      </c>
      <c r="G6" s="6" t="s">
        <v>586</v>
      </c>
      <c r="H6" s="6" t="s">
        <v>66</v>
      </c>
      <c r="I6" s="6" t="s">
        <v>82</v>
      </c>
      <c r="J6" s="6" t="s">
        <v>103</v>
      </c>
      <c r="K6" s="6" t="s">
        <v>124</v>
      </c>
      <c r="L6" s="6" t="s">
        <v>144</v>
      </c>
      <c r="M6" s="8">
        <v>1493</v>
      </c>
      <c r="N6" s="6" t="s">
        <v>177</v>
      </c>
      <c r="O6" s="6" t="s">
        <v>198</v>
      </c>
      <c r="P6" s="6" t="s">
        <v>218</v>
      </c>
      <c r="Q6" s="6" t="s">
        <v>231</v>
      </c>
      <c r="R6" s="6" t="s">
        <v>251</v>
      </c>
      <c r="S6" s="6" t="s">
        <v>272</v>
      </c>
      <c r="T6" s="6" t="s">
        <v>288</v>
      </c>
      <c r="U6" s="6" t="s">
        <v>288</v>
      </c>
      <c r="V6" s="6" t="s">
        <v>307</v>
      </c>
      <c r="W6" s="6" t="s">
        <v>324</v>
      </c>
      <c r="X6" s="6" t="s">
        <v>344</v>
      </c>
      <c r="Y6" s="6" t="s">
        <v>365</v>
      </c>
      <c r="Z6" s="6" t="s">
        <v>610</v>
      </c>
      <c r="AA6" s="6" t="s">
        <v>288</v>
      </c>
      <c r="AB6" s="6" t="s">
        <v>395</v>
      </c>
      <c r="AC6" s="6" t="s">
        <v>658</v>
      </c>
      <c r="AD6" s="6" t="s">
        <v>416</v>
      </c>
      <c r="AE6" s="6" t="s">
        <v>633</v>
      </c>
      <c r="AF6" s="6" t="s">
        <v>502</v>
      </c>
      <c r="AG6" s="10" t="s">
        <v>652</v>
      </c>
    </row>
    <row r="7" spans="1:33" x14ac:dyDescent="0.25">
      <c r="A7" s="2">
        <v>6</v>
      </c>
      <c r="B7" s="6" t="s">
        <v>31</v>
      </c>
      <c r="C7" s="6" t="str">
        <f>CONCATENATE(TablaVaquera[[#This Row],[Nombre Tradicional]],"-Mujer")</f>
        <v>Guajiro-Mujer</v>
      </c>
      <c r="D7" s="6" t="s">
        <v>51</v>
      </c>
      <c r="E7" s="6" t="s">
        <v>546</v>
      </c>
      <c r="F7" s="6" t="s">
        <v>562</v>
      </c>
      <c r="G7" s="6" t="s">
        <v>587</v>
      </c>
      <c r="H7" s="6" t="s">
        <v>67</v>
      </c>
      <c r="I7" s="6" t="s">
        <v>83</v>
      </c>
      <c r="J7" s="6" t="s">
        <v>104</v>
      </c>
      <c r="K7" s="6" t="s">
        <v>125</v>
      </c>
      <c r="L7" s="6" t="s">
        <v>145</v>
      </c>
      <c r="M7" s="8" t="s">
        <v>157</v>
      </c>
      <c r="N7" s="6" t="s">
        <v>178</v>
      </c>
      <c r="O7" s="6" t="s">
        <v>199</v>
      </c>
      <c r="P7" s="6" t="s">
        <v>219</v>
      </c>
      <c r="Q7" s="6" t="s">
        <v>231</v>
      </c>
      <c r="R7" s="6" t="s">
        <v>252</v>
      </c>
      <c r="S7" s="6" t="s">
        <v>273</v>
      </c>
      <c r="T7" s="6" t="s">
        <v>288</v>
      </c>
      <c r="U7" s="6" t="s">
        <v>288</v>
      </c>
      <c r="V7" s="6" t="s">
        <v>308</v>
      </c>
      <c r="W7" s="6" t="s">
        <v>325</v>
      </c>
      <c r="X7" s="6" t="s">
        <v>345</v>
      </c>
      <c r="Y7" s="6" t="s">
        <v>366</v>
      </c>
      <c r="Z7" s="6" t="s">
        <v>611</v>
      </c>
      <c r="AA7" s="6" t="s">
        <v>382</v>
      </c>
      <c r="AB7" s="6" t="s">
        <v>396</v>
      </c>
      <c r="AC7" s="6" t="s">
        <v>659</v>
      </c>
      <c r="AD7" s="6" t="s">
        <v>417</v>
      </c>
      <c r="AE7" s="6" t="s">
        <v>634</v>
      </c>
      <c r="AF7" s="6" t="s">
        <v>503</v>
      </c>
      <c r="AG7" s="6" t="s">
        <v>504</v>
      </c>
    </row>
    <row r="8" spans="1:33" x14ac:dyDescent="0.25">
      <c r="A8" s="2">
        <v>7</v>
      </c>
      <c r="B8" s="6" t="s">
        <v>32</v>
      </c>
      <c r="C8" s="6" t="str">
        <f>CONCATENATE(TablaVaquera[[#This Row],[Nombre Tradicional]],"-Mujer")</f>
        <v>Vaquero Novohispano-Mujer</v>
      </c>
      <c r="D8" s="6" t="s">
        <v>52</v>
      </c>
      <c r="E8" s="6" t="s">
        <v>547</v>
      </c>
      <c r="F8" s="6" t="s">
        <v>563</v>
      </c>
      <c r="G8" s="6" t="s">
        <v>588</v>
      </c>
      <c r="H8" s="6" t="s">
        <v>68</v>
      </c>
      <c r="I8" s="6" t="s">
        <v>84</v>
      </c>
      <c r="J8" s="6" t="s">
        <v>105</v>
      </c>
      <c r="K8" s="6" t="s">
        <v>126</v>
      </c>
      <c r="L8" s="6" t="s">
        <v>146</v>
      </c>
      <c r="M8" s="8" t="s">
        <v>158</v>
      </c>
      <c r="N8" s="6" t="s">
        <v>179</v>
      </c>
      <c r="O8" s="6" t="s">
        <v>200</v>
      </c>
      <c r="P8" s="6" t="s">
        <v>220</v>
      </c>
      <c r="Q8" s="6" t="s">
        <v>235</v>
      </c>
      <c r="R8" s="6" t="s">
        <v>253</v>
      </c>
      <c r="S8" s="6" t="s">
        <v>274</v>
      </c>
      <c r="T8" s="6" t="s">
        <v>290</v>
      </c>
      <c r="U8" s="6" t="s">
        <v>288</v>
      </c>
      <c r="V8" s="6" t="s">
        <v>309</v>
      </c>
      <c r="W8" s="6" t="s">
        <v>326</v>
      </c>
      <c r="X8" s="6" t="s">
        <v>346</v>
      </c>
      <c r="Y8" s="6" t="s">
        <v>367</v>
      </c>
      <c r="Z8" s="6" t="s">
        <v>612</v>
      </c>
      <c r="AA8" s="6" t="s">
        <v>288</v>
      </c>
      <c r="AB8" s="6" t="s">
        <v>397</v>
      </c>
      <c r="AC8" s="6" t="s">
        <v>660</v>
      </c>
      <c r="AD8" s="6" t="s">
        <v>418</v>
      </c>
      <c r="AE8" s="6" t="s">
        <v>635</v>
      </c>
      <c r="AF8" s="6" t="s">
        <v>505</v>
      </c>
      <c r="AG8" s="10" t="s">
        <v>506</v>
      </c>
    </row>
    <row r="9" spans="1:33" x14ac:dyDescent="0.25">
      <c r="A9" s="2">
        <v>8</v>
      </c>
      <c r="B9" s="6" t="s">
        <v>33</v>
      </c>
      <c r="C9" s="6" t="str">
        <f>CONCATENATE(TablaVaquera[[#This Row],[Nombre Tradicional]],"-Mujer")</f>
        <v>Vaqueiro do Sertão-Mujer</v>
      </c>
      <c r="D9" s="6" t="s">
        <v>53</v>
      </c>
      <c r="E9" s="6" t="s">
        <v>547</v>
      </c>
      <c r="F9" s="6" t="s">
        <v>564</v>
      </c>
      <c r="G9" s="6" t="s">
        <v>589</v>
      </c>
      <c r="H9" s="6" t="s">
        <v>69</v>
      </c>
      <c r="I9" s="6" t="s">
        <v>85</v>
      </c>
      <c r="J9" s="6" t="s">
        <v>106</v>
      </c>
      <c r="K9" s="6" t="s">
        <v>127</v>
      </c>
      <c r="L9" s="6" t="s">
        <v>145</v>
      </c>
      <c r="M9" s="8" t="s">
        <v>159</v>
      </c>
      <c r="N9" s="6" t="s">
        <v>180</v>
      </c>
      <c r="O9" s="6" t="s">
        <v>201</v>
      </c>
      <c r="P9" s="6" t="s">
        <v>221</v>
      </c>
      <c r="Q9" s="6" t="s">
        <v>236</v>
      </c>
      <c r="R9" s="6" t="s">
        <v>254</v>
      </c>
      <c r="S9" s="6" t="s">
        <v>275</v>
      </c>
      <c r="T9" s="6" t="s">
        <v>291</v>
      </c>
      <c r="U9" s="6" t="s">
        <v>301</v>
      </c>
      <c r="V9" s="6" t="s">
        <v>310</v>
      </c>
      <c r="W9" s="6" t="s">
        <v>327</v>
      </c>
      <c r="X9" s="6" t="s">
        <v>347</v>
      </c>
      <c r="Y9" s="6" t="s">
        <v>368</v>
      </c>
      <c r="Z9" s="6" t="s">
        <v>613</v>
      </c>
      <c r="AA9" s="6" t="s">
        <v>288</v>
      </c>
      <c r="AB9" s="6" t="s">
        <v>398</v>
      </c>
      <c r="AC9" s="6" t="s">
        <v>661</v>
      </c>
      <c r="AD9" s="6" t="s">
        <v>419</v>
      </c>
      <c r="AE9" s="6" t="s">
        <v>433</v>
      </c>
      <c r="AF9" s="6" t="s">
        <v>507</v>
      </c>
      <c r="AG9" s="10" t="s">
        <v>508</v>
      </c>
    </row>
    <row r="10" spans="1:33" x14ac:dyDescent="0.25">
      <c r="A10" s="2">
        <v>9</v>
      </c>
      <c r="B10" s="6" t="s">
        <v>34</v>
      </c>
      <c r="C10" s="6" t="str">
        <f>CONCATENATE(TablaVaquera[[#This Row],[Nombre Tradicional]],"-Mujer")</f>
        <v>Sabanero-Mujer</v>
      </c>
      <c r="D10" s="6" t="s">
        <v>54</v>
      </c>
      <c r="E10" s="6" t="s">
        <v>545</v>
      </c>
      <c r="F10" s="6" t="s">
        <v>565</v>
      </c>
      <c r="G10" s="6" t="s">
        <v>590</v>
      </c>
      <c r="H10" s="6" t="s">
        <v>70</v>
      </c>
      <c r="I10" s="6" t="s">
        <v>86</v>
      </c>
      <c r="J10" s="6" t="s">
        <v>107</v>
      </c>
      <c r="K10" s="6" t="s">
        <v>128</v>
      </c>
      <c r="L10" s="6" t="s">
        <v>145</v>
      </c>
      <c r="M10" s="8" t="s">
        <v>160</v>
      </c>
      <c r="N10" s="6" t="s">
        <v>181</v>
      </c>
      <c r="O10" s="6" t="s">
        <v>202</v>
      </c>
      <c r="P10" s="6" t="s">
        <v>222</v>
      </c>
      <c r="Q10" s="6" t="s">
        <v>231</v>
      </c>
      <c r="R10" s="6" t="s">
        <v>255</v>
      </c>
      <c r="S10" s="6" t="s">
        <v>276</v>
      </c>
      <c r="T10" s="6" t="s">
        <v>292</v>
      </c>
      <c r="U10" s="6" t="s">
        <v>288</v>
      </c>
      <c r="V10" s="6" t="s">
        <v>310</v>
      </c>
      <c r="W10" s="6" t="s">
        <v>328</v>
      </c>
      <c r="X10" s="6" t="s">
        <v>348</v>
      </c>
      <c r="Y10" s="6" t="s">
        <v>369</v>
      </c>
      <c r="Z10" s="6" t="s">
        <v>614</v>
      </c>
      <c r="AA10" s="6" t="s">
        <v>383</v>
      </c>
      <c r="AB10" s="6" t="s">
        <v>399</v>
      </c>
      <c r="AC10" s="6" t="s">
        <v>662</v>
      </c>
      <c r="AD10" s="6" t="s">
        <v>420</v>
      </c>
      <c r="AE10" s="6" t="s">
        <v>636</v>
      </c>
      <c r="AF10" s="6" t="s">
        <v>509</v>
      </c>
      <c r="AG10" s="10" t="s">
        <v>510</v>
      </c>
    </row>
    <row r="11" spans="1:33" x14ac:dyDescent="0.25">
      <c r="A11" s="2">
        <v>10</v>
      </c>
      <c r="B11" s="6" t="s">
        <v>35</v>
      </c>
      <c r="C11" s="6" t="str">
        <f>CONCATENATE(TablaVaquera[[#This Row],[Nombre Tradicional]],"-Mujer")</f>
        <v>Chalán-Mujer</v>
      </c>
      <c r="D11" s="6" t="s">
        <v>55</v>
      </c>
      <c r="E11" s="6" t="s">
        <v>553</v>
      </c>
      <c r="F11" s="6" t="s">
        <v>566</v>
      </c>
      <c r="G11" s="6" t="s">
        <v>591</v>
      </c>
      <c r="H11" s="6" t="s">
        <v>71</v>
      </c>
      <c r="I11" s="6" t="s">
        <v>87</v>
      </c>
      <c r="J11" s="6" t="s">
        <v>108</v>
      </c>
      <c r="K11" s="6" t="s">
        <v>129</v>
      </c>
      <c r="L11" s="6" t="s">
        <v>147</v>
      </c>
      <c r="M11" s="8" t="s">
        <v>161</v>
      </c>
      <c r="N11" s="6" t="s">
        <v>182</v>
      </c>
      <c r="O11" s="6" t="s">
        <v>203</v>
      </c>
      <c r="P11" s="6" t="s">
        <v>223</v>
      </c>
      <c r="Q11" s="6" t="s">
        <v>237</v>
      </c>
      <c r="R11" s="6" t="s">
        <v>256</v>
      </c>
      <c r="S11" s="6" t="s">
        <v>277</v>
      </c>
      <c r="T11" s="6" t="s">
        <v>288</v>
      </c>
      <c r="U11" s="6" t="s">
        <v>288</v>
      </c>
      <c r="V11" s="6" t="s">
        <v>311</v>
      </c>
      <c r="W11" s="6" t="s">
        <v>329</v>
      </c>
      <c r="X11" s="6" t="s">
        <v>349</v>
      </c>
      <c r="Y11" s="6" t="s">
        <v>370</v>
      </c>
      <c r="Z11" s="6" t="s">
        <v>400</v>
      </c>
      <c r="AA11" s="6" t="s">
        <v>384</v>
      </c>
      <c r="AB11" s="6" t="s">
        <v>400</v>
      </c>
      <c r="AC11" s="6" t="s">
        <v>663</v>
      </c>
      <c r="AD11" s="6" t="s">
        <v>421</v>
      </c>
      <c r="AE11" s="6" t="s">
        <v>637</v>
      </c>
      <c r="AF11" s="6" t="s">
        <v>511</v>
      </c>
      <c r="AG11" s="10" t="s">
        <v>512</v>
      </c>
    </row>
    <row r="12" spans="1:33" x14ac:dyDescent="0.25">
      <c r="A12" s="2">
        <v>11</v>
      </c>
      <c r="B12" s="6" t="s">
        <v>36</v>
      </c>
      <c r="C12" s="6" t="str">
        <f>CONCATENATE(TablaVaquera[[#This Row],[Nombre Tradicional]],"-Mujer")</f>
        <v>Morochuco-Mujer</v>
      </c>
      <c r="D12" s="6" t="s">
        <v>56</v>
      </c>
      <c r="E12" s="6" t="s">
        <v>555</v>
      </c>
      <c r="F12" s="6" t="s">
        <v>567</v>
      </c>
      <c r="G12" s="6" t="s">
        <v>592</v>
      </c>
      <c r="H12" s="6" t="s">
        <v>71</v>
      </c>
      <c r="I12" s="6" t="s">
        <v>88</v>
      </c>
      <c r="J12" s="6" t="s">
        <v>109</v>
      </c>
      <c r="K12" s="6" t="s">
        <v>130</v>
      </c>
      <c r="L12" s="6" t="s">
        <v>147</v>
      </c>
      <c r="M12" s="8" t="s">
        <v>162</v>
      </c>
      <c r="N12" s="6" t="s">
        <v>183</v>
      </c>
      <c r="O12" s="6" t="s">
        <v>204</v>
      </c>
      <c r="P12" s="6" t="s">
        <v>224</v>
      </c>
      <c r="Q12" s="6" t="s">
        <v>238</v>
      </c>
      <c r="R12" s="6" t="s">
        <v>257</v>
      </c>
      <c r="S12" s="6" t="s">
        <v>278</v>
      </c>
      <c r="T12" s="6" t="s">
        <v>288</v>
      </c>
      <c r="U12" s="6" t="s">
        <v>288</v>
      </c>
      <c r="V12" s="6" t="s">
        <v>312</v>
      </c>
      <c r="W12" s="6" t="s">
        <v>330</v>
      </c>
      <c r="X12" s="6" t="s">
        <v>350</v>
      </c>
      <c r="Y12" s="6" t="s">
        <v>371</v>
      </c>
      <c r="Z12" s="6" t="s">
        <v>615</v>
      </c>
      <c r="AA12" s="6" t="s">
        <v>385</v>
      </c>
      <c r="AB12" s="6" t="s">
        <v>401</v>
      </c>
      <c r="AC12" s="6" t="s">
        <v>664</v>
      </c>
      <c r="AD12" s="6" t="s">
        <v>422</v>
      </c>
      <c r="AE12" s="6" t="s">
        <v>638</v>
      </c>
      <c r="AF12" s="6" t="s">
        <v>514</v>
      </c>
      <c r="AG12" s="10" t="s">
        <v>513</v>
      </c>
    </row>
    <row r="13" spans="1:33" x14ac:dyDescent="0.25">
      <c r="A13" s="2">
        <v>12</v>
      </c>
      <c r="B13" s="6" t="s">
        <v>37</v>
      </c>
      <c r="C13" s="6" t="str">
        <f>CONCATENATE(TablaVaquera[[#This Row],[Nombre Tradicional]],"-Mujer")</f>
        <v>Chagra-Mujer</v>
      </c>
      <c r="D13" s="6" t="s">
        <v>57</v>
      </c>
      <c r="E13" s="6" t="s">
        <v>555</v>
      </c>
      <c r="F13" s="6" t="s">
        <v>568</v>
      </c>
      <c r="G13" s="6" t="s">
        <v>593</v>
      </c>
      <c r="H13" s="6" t="s">
        <v>72</v>
      </c>
      <c r="I13" s="6" t="s">
        <v>89</v>
      </c>
      <c r="J13" s="6" t="s">
        <v>110</v>
      </c>
      <c r="K13" s="6" t="s">
        <v>131</v>
      </c>
      <c r="L13" s="6" t="s">
        <v>147</v>
      </c>
      <c r="M13" s="8" t="s">
        <v>163</v>
      </c>
      <c r="N13" s="6" t="s">
        <v>184</v>
      </c>
      <c r="O13" s="6" t="s">
        <v>205</v>
      </c>
      <c r="P13" s="6" t="s">
        <v>225</v>
      </c>
      <c r="Q13" s="6" t="s">
        <v>239</v>
      </c>
      <c r="R13" s="6" t="s">
        <v>258</v>
      </c>
      <c r="S13" s="6" t="s">
        <v>277</v>
      </c>
      <c r="T13" s="6" t="s">
        <v>293</v>
      </c>
      <c r="U13" s="6" t="s">
        <v>288</v>
      </c>
      <c r="V13" s="6" t="s">
        <v>304</v>
      </c>
      <c r="W13" s="6" t="s">
        <v>331</v>
      </c>
      <c r="X13" s="6" t="s">
        <v>351</v>
      </c>
      <c r="Y13" s="6" t="s">
        <v>372</v>
      </c>
      <c r="Z13" s="6" t="s">
        <v>616</v>
      </c>
      <c r="AA13" s="6" t="s">
        <v>386</v>
      </c>
      <c r="AB13" s="6" t="s">
        <v>402</v>
      </c>
      <c r="AC13" s="6" t="s">
        <v>665</v>
      </c>
      <c r="AD13" s="6" t="s">
        <v>423</v>
      </c>
      <c r="AE13" s="6" t="s">
        <v>639</v>
      </c>
      <c r="AF13" s="6" t="s">
        <v>515</v>
      </c>
      <c r="AG13" s="10" t="s">
        <v>516</v>
      </c>
    </row>
    <row r="14" spans="1:33" x14ac:dyDescent="0.25">
      <c r="A14" s="2">
        <v>13</v>
      </c>
      <c r="B14" s="6" t="s">
        <v>38</v>
      </c>
      <c r="C14" s="6" t="str">
        <f>CONCATENATE(TablaVaquera[[#This Row],[Nombre Tradicional]],"-Mujer")</f>
        <v>Llanero-Mujer</v>
      </c>
      <c r="D14" s="6" t="s">
        <v>58</v>
      </c>
      <c r="E14" s="6" t="s">
        <v>545</v>
      </c>
      <c r="F14" s="6" t="s">
        <v>569</v>
      </c>
      <c r="G14" s="6" t="s">
        <v>594</v>
      </c>
      <c r="H14" s="6" t="s">
        <v>73</v>
      </c>
      <c r="I14" s="6" t="s">
        <v>90</v>
      </c>
      <c r="J14" s="6" t="s">
        <v>111</v>
      </c>
      <c r="K14" s="6" t="s">
        <v>132</v>
      </c>
      <c r="L14" s="6" t="s">
        <v>147</v>
      </c>
      <c r="M14" s="8" t="s">
        <v>164</v>
      </c>
      <c r="N14" s="6" t="s">
        <v>185</v>
      </c>
      <c r="O14" s="6" t="s">
        <v>206</v>
      </c>
      <c r="P14" s="6" t="s">
        <v>226</v>
      </c>
      <c r="Q14" s="6" t="s">
        <v>240</v>
      </c>
      <c r="R14" s="6" t="s">
        <v>259</v>
      </c>
      <c r="S14" s="6" t="s">
        <v>279</v>
      </c>
      <c r="T14" s="6" t="s">
        <v>288</v>
      </c>
      <c r="U14" s="6" t="s">
        <v>288</v>
      </c>
      <c r="V14" s="6" t="s">
        <v>313</v>
      </c>
      <c r="W14" s="6" t="s">
        <v>332</v>
      </c>
      <c r="X14" s="6" t="s">
        <v>352</v>
      </c>
      <c r="Y14" s="6" t="s">
        <v>373</v>
      </c>
      <c r="Z14" s="6" t="s">
        <v>617</v>
      </c>
      <c r="AA14" s="6" t="s">
        <v>288</v>
      </c>
      <c r="AB14" s="6" t="s">
        <v>403</v>
      </c>
      <c r="AC14" s="6" t="s">
        <v>666</v>
      </c>
      <c r="AD14" s="6" t="s">
        <v>424</v>
      </c>
      <c r="AE14" s="6" t="s">
        <v>640</v>
      </c>
      <c r="AF14" s="6" t="s">
        <v>518</v>
      </c>
      <c r="AG14" s="10" t="s">
        <v>517</v>
      </c>
    </row>
    <row r="15" spans="1:33" x14ac:dyDescent="0.25">
      <c r="A15" s="2">
        <v>14</v>
      </c>
      <c r="B15" s="6" t="s">
        <v>39</v>
      </c>
      <c r="C15" s="6" t="str">
        <f>CONCATENATE(TablaVaquera[[#This Row],[Nombre Tradicional]],"-Mujer")</f>
        <v>Gaucho -Mujer</v>
      </c>
      <c r="D15" s="6" t="s">
        <v>59</v>
      </c>
      <c r="E15" s="6" t="s">
        <v>553</v>
      </c>
      <c r="F15" s="6" t="s">
        <v>570</v>
      </c>
      <c r="G15" s="6" t="s">
        <v>595</v>
      </c>
      <c r="H15" s="6" t="s">
        <v>74</v>
      </c>
      <c r="I15" s="6" t="s">
        <v>91</v>
      </c>
      <c r="J15" s="6" t="s">
        <v>112</v>
      </c>
      <c r="K15" s="6" t="s">
        <v>133</v>
      </c>
      <c r="L15" s="6" t="s">
        <v>147</v>
      </c>
      <c r="M15" s="8" t="s">
        <v>165</v>
      </c>
      <c r="N15" s="6" t="s">
        <v>186</v>
      </c>
      <c r="O15" s="6" t="s">
        <v>207</v>
      </c>
      <c r="P15" s="6" t="s">
        <v>227</v>
      </c>
      <c r="Q15" s="6" t="s">
        <v>241</v>
      </c>
      <c r="R15" s="6" t="s">
        <v>260</v>
      </c>
      <c r="S15" s="6" t="s">
        <v>280</v>
      </c>
      <c r="T15" s="6" t="s">
        <v>288</v>
      </c>
      <c r="U15" s="6" t="s">
        <v>288</v>
      </c>
      <c r="V15" s="6" t="s">
        <v>314</v>
      </c>
      <c r="W15" s="6" t="s">
        <v>333</v>
      </c>
      <c r="X15" s="6" t="s">
        <v>353</v>
      </c>
      <c r="Y15" s="6" t="s">
        <v>374</v>
      </c>
      <c r="Z15" s="6" t="s">
        <v>618</v>
      </c>
      <c r="AA15" s="6" t="s">
        <v>382</v>
      </c>
      <c r="AB15" s="6" t="s">
        <v>404</v>
      </c>
      <c r="AC15" s="6" t="s">
        <v>667</v>
      </c>
      <c r="AD15" s="6" t="s">
        <v>425</v>
      </c>
      <c r="AE15" s="6" t="s">
        <v>641</v>
      </c>
      <c r="AF15" s="6" t="s">
        <v>519</v>
      </c>
      <c r="AG15" s="6" t="s">
        <v>520</v>
      </c>
    </row>
    <row r="16" spans="1:33" x14ac:dyDescent="0.25">
      <c r="A16" s="2">
        <v>15</v>
      </c>
      <c r="B16" s="6" t="s">
        <v>40</v>
      </c>
      <c r="C16" s="6" t="str">
        <f>CONCATENATE(TablaVaquera[[#This Row],[Nombre Tradicional]],"-Mujer")</f>
        <v>Huaso-Mujer</v>
      </c>
      <c r="D16" s="6" t="s">
        <v>60</v>
      </c>
      <c r="E16" s="6" t="s">
        <v>548</v>
      </c>
      <c r="F16" s="6" t="s">
        <v>571</v>
      </c>
      <c r="G16" s="6" t="s">
        <v>596</v>
      </c>
      <c r="H16" s="6" t="s">
        <v>75</v>
      </c>
      <c r="I16" s="6" t="s">
        <v>92</v>
      </c>
      <c r="J16" s="6" t="s">
        <v>113</v>
      </c>
      <c r="K16" s="6" t="s">
        <v>134</v>
      </c>
      <c r="L16" s="6" t="s">
        <v>147</v>
      </c>
      <c r="M16" s="8" t="s">
        <v>166</v>
      </c>
      <c r="N16" s="6" t="s">
        <v>187</v>
      </c>
      <c r="O16" s="6" t="s">
        <v>208</v>
      </c>
      <c r="P16" s="6" t="s">
        <v>11</v>
      </c>
      <c r="Q16" s="6" t="s">
        <v>242</v>
      </c>
      <c r="R16" s="6" t="s">
        <v>261</v>
      </c>
      <c r="S16" s="6" t="s">
        <v>281</v>
      </c>
      <c r="T16" s="6" t="s">
        <v>294</v>
      </c>
      <c r="U16" s="6" t="s">
        <v>288</v>
      </c>
      <c r="V16" s="6" t="s">
        <v>315</v>
      </c>
      <c r="W16" s="6" t="s">
        <v>334</v>
      </c>
      <c r="X16" s="6" t="s">
        <v>354</v>
      </c>
      <c r="Y16" s="6" t="s">
        <v>375</v>
      </c>
      <c r="Z16" s="6" t="s">
        <v>619</v>
      </c>
      <c r="AA16" s="6" t="s">
        <v>288</v>
      </c>
      <c r="AB16" s="6" t="s">
        <v>405</v>
      </c>
      <c r="AC16" s="6" t="s">
        <v>668</v>
      </c>
      <c r="AD16" s="6" t="s">
        <v>426</v>
      </c>
      <c r="AE16" s="6" t="s">
        <v>642</v>
      </c>
      <c r="AF16" s="6" t="s">
        <v>521</v>
      </c>
      <c r="AG16" s="10" t="s">
        <v>522</v>
      </c>
    </row>
    <row r="17" spans="1:33" x14ac:dyDescent="0.25">
      <c r="A17" s="2">
        <v>16</v>
      </c>
      <c r="B17" s="6" t="s">
        <v>41</v>
      </c>
      <c r="C17" s="6" t="str">
        <f>CONCATENATE(TablaVaquera[[#This Row],[Nombre Tradicional]],"-Mujer")</f>
        <v>Jinete Nativo-Mujer</v>
      </c>
      <c r="D17" s="6" t="s">
        <v>61</v>
      </c>
      <c r="E17" s="6" t="s">
        <v>554</v>
      </c>
      <c r="F17" s="6" t="s">
        <v>572</v>
      </c>
      <c r="G17" s="6" t="s">
        <v>597</v>
      </c>
      <c r="H17" s="6" t="s">
        <v>76</v>
      </c>
      <c r="I17" s="6" t="s">
        <v>93</v>
      </c>
      <c r="J17" s="6" t="s">
        <v>114</v>
      </c>
      <c r="K17" s="6" t="s">
        <v>135</v>
      </c>
      <c r="L17" s="6" t="s">
        <v>148</v>
      </c>
      <c r="M17" s="8" t="s">
        <v>167</v>
      </c>
      <c r="N17" s="6" t="s">
        <v>188</v>
      </c>
      <c r="O17" s="6" t="s">
        <v>209</v>
      </c>
      <c r="P17" s="6" t="s">
        <v>228</v>
      </c>
      <c r="Q17" s="6" t="s">
        <v>243</v>
      </c>
      <c r="R17" s="6" t="s">
        <v>262</v>
      </c>
      <c r="S17" s="6" t="s">
        <v>282</v>
      </c>
      <c r="T17" s="6" t="s">
        <v>295</v>
      </c>
      <c r="U17" s="6" t="s">
        <v>288</v>
      </c>
      <c r="V17" s="6" t="s">
        <v>316</v>
      </c>
      <c r="W17" s="6" t="s">
        <v>288</v>
      </c>
      <c r="X17" s="6" t="s">
        <v>355</v>
      </c>
      <c r="Y17" s="6" t="s">
        <v>376</v>
      </c>
      <c r="Z17" s="6" t="s">
        <v>620</v>
      </c>
      <c r="AA17" s="6" t="s">
        <v>288</v>
      </c>
      <c r="AB17" s="6" t="s">
        <v>406</v>
      </c>
      <c r="AC17" s="6" t="s">
        <v>669</v>
      </c>
      <c r="AD17" s="6" t="s">
        <v>427</v>
      </c>
      <c r="AE17" s="6" t="s">
        <v>643</v>
      </c>
      <c r="AF17" s="6" t="s">
        <v>523</v>
      </c>
      <c r="AG17" s="10" t="s">
        <v>524</v>
      </c>
    </row>
    <row r="18" spans="1:33" ht="15.75" customHeight="1" x14ac:dyDescent="0.25">
      <c r="A18" s="2">
        <v>17</v>
      </c>
      <c r="B18" s="6" t="s">
        <v>42</v>
      </c>
      <c r="C18" s="6" t="str">
        <f>CONCATENATE(TablaVaquera[[#This Row],[Nombre Tradicional]],"-Mujer")</f>
        <v>Gaúcho Sul-Rio-Grandense-Mujer</v>
      </c>
      <c r="D18" s="6" t="s">
        <v>42</v>
      </c>
      <c r="E18" s="6" t="s">
        <v>553</v>
      </c>
      <c r="F18" s="6" t="s">
        <v>580</v>
      </c>
      <c r="G18" s="6" t="s">
        <v>598</v>
      </c>
      <c r="H18" s="6" t="s">
        <v>69</v>
      </c>
      <c r="I18" s="6" t="s">
        <v>94</v>
      </c>
      <c r="J18" s="6" t="s">
        <v>115</v>
      </c>
      <c r="K18" s="6" t="s">
        <v>136</v>
      </c>
      <c r="L18" s="6" t="s">
        <v>149</v>
      </c>
      <c r="M18" s="8" t="s">
        <v>168</v>
      </c>
      <c r="N18" s="6" t="s">
        <v>189</v>
      </c>
      <c r="O18" s="6" t="s">
        <v>210</v>
      </c>
      <c r="P18" s="6" t="s">
        <v>227</v>
      </c>
      <c r="Q18" s="6" t="s">
        <v>244</v>
      </c>
      <c r="R18" s="6" t="s">
        <v>263</v>
      </c>
      <c r="S18" s="6" t="s">
        <v>283</v>
      </c>
      <c r="T18" s="6" t="s">
        <v>288</v>
      </c>
      <c r="U18" s="6" t="s">
        <v>288</v>
      </c>
      <c r="V18" s="6" t="s">
        <v>317</v>
      </c>
      <c r="W18" s="6" t="s">
        <v>335</v>
      </c>
      <c r="X18" s="6" t="s">
        <v>356</v>
      </c>
      <c r="Y18" s="6" t="s">
        <v>377</v>
      </c>
      <c r="Z18" s="6" t="s">
        <v>621</v>
      </c>
      <c r="AA18" s="6" t="s">
        <v>387</v>
      </c>
      <c r="AB18" s="6" t="s">
        <v>407</v>
      </c>
      <c r="AC18" s="6" t="s">
        <v>670</v>
      </c>
      <c r="AD18" s="6" t="s">
        <v>428</v>
      </c>
      <c r="AE18" s="6" t="s">
        <v>644</v>
      </c>
      <c r="AF18" s="6" t="s">
        <v>525</v>
      </c>
      <c r="AG18" s="10" t="s">
        <v>526</v>
      </c>
    </row>
    <row r="19" spans="1:33" ht="13.5" customHeight="1" x14ac:dyDescent="0.25">
      <c r="A19" s="2">
        <v>18</v>
      </c>
      <c r="B19" s="6" t="s">
        <v>43</v>
      </c>
      <c r="C19" s="6" t="str">
        <f>CONCATENATE(TablaVaquera[[#This Row],[Nombre Tradicional]],"-Mujer")</f>
        <v>Vaqueiro Pantaneiro-Mujer</v>
      </c>
      <c r="D19" s="6" t="s">
        <v>43</v>
      </c>
      <c r="E19" s="6" t="s">
        <v>552</v>
      </c>
      <c r="F19" s="6" t="s">
        <v>579</v>
      </c>
      <c r="G19" s="6" t="s">
        <v>599</v>
      </c>
      <c r="H19" s="6" t="s">
        <v>69</v>
      </c>
      <c r="I19" s="6" t="s">
        <v>95</v>
      </c>
      <c r="J19" s="6" t="s">
        <v>116</v>
      </c>
      <c r="K19" s="6" t="s">
        <v>137</v>
      </c>
      <c r="L19" s="6" t="s">
        <v>149</v>
      </c>
      <c r="M19" s="8" t="s">
        <v>169</v>
      </c>
      <c r="N19" s="6" t="s">
        <v>190</v>
      </c>
      <c r="O19" s="6" t="s">
        <v>211</v>
      </c>
      <c r="P19" s="6" t="s">
        <v>221</v>
      </c>
      <c r="Q19" s="6" t="s">
        <v>231</v>
      </c>
      <c r="R19" s="6" t="s">
        <v>264</v>
      </c>
      <c r="S19" s="6" t="s">
        <v>284</v>
      </c>
      <c r="T19" s="6" t="s">
        <v>296</v>
      </c>
      <c r="U19" s="6" t="s">
        <v>288</v>
      </c>
      <c r="V19" s="6" t="s">
        <v>318</v>
      </c>
      <c r="W19" s="6" t="s">
        <v>336</v>
      </c>
      <c r="X19" s="6" t="s">
        <v>357</v>
      </c>
      <c r="Y19" s="6" t="s">
        <v>378</v>
      </c>
      <c r="Z19" s="6" t="s">
        <v>622</v>
      </c>
      <c r="AA19" s="6" t="s">
        <v>382</v>
      </c>
      <c r="AB19" s="6" t="s">
        <v>408</v>
      </c>
      <c r="AC19" s="6" t="s">
        <v>671</v>
      </c>
      <c r="AD19" s="6" t="s">
        <v>429</v>
      </c>
      <c r="AE19" s="6" t="s">
        <v>645</v>
      </c>
      <c r="AF19" s="6" t="s">
        <v>527</v>
      </c>
      <c r="AG19" s="10" t="s">
        <v>528</v>
      </c>
    </row>
    <row r="20" spans="1:33" ht="15" customHeight="1" x14ac:dyDescent="0.25">
      <c r="A20" s="2">
        <v>19</v>
      </c>
      <c r="B20" s="6" t="s">
        <v>44</v>
      </c>
      <c r="C20" s="6" t="str">
        <f>CONCATENATE(TablaVaquera[[#This Row],[Nombre Tradicional]],"-Mujer")</f>
        <v>Vaquero Californio y Tejano-Mujer</v>
      </c>
      <c r="D20" s="11" t="s">
        <v>44</v>
      </c>
      <c r="E20" s="6" t="s">
        <v>44</v>
      </c>
      <c r="F20" s="6" t="s">
        <v>578</v>
      </c>
      <c r="G20" s="6" t="s">
        <v>600</v>
      </c>
      <c r="H20" s="6" t="s">
        <v>76</v>
      </c>
      <c r="I20" s="6" t="s">
        <v>96</v>
      </c>
      <c r="J20" s="6" t="s">
        <v>117</v>
      </c>
      <c r="K20" s="6" t="s">
        <v>138</v>
      </c>
      <c r="L20" s="6" t="s">
        <v>150</v>
      </c>
      <c r="M20" s="8" t="s">
        <v>170</v>
      </c>
      <c r="N20" s="6" t="s">
        <v>191</v>
      </c>
      <c r="O20" s="6" t="s">
        <v>212</v>
      </c>
      <c r="P20" s="6" t="s">
        <v>217</v>
      </c>
      <c r="Q20" s="6" t="s">
        <v>245</v>
      </c>
      <c r="R20" s="6" t="s">
        <v>265</v>
      </c>
      <c r="S20" s="6" t="s">
        <v>285</v>
      </c>
      <c r="T20" s="6" t="s">
        <v>297</v>
      </c>
      <c r="U20" s="6" t="s">
        <v>300</v>
      </c>
      <c r="V20" s="6" t="s">
        <v>306</v>
      </c>
      <c r="W20" s="6" t="s">
        <v>337</v>
      </c>
      <c r="X20" s="6" t="s">
        <v>358</v>
      </c>
      <c r="Y20" s="6" t="s">
        <v>379</v>
      </c>
      <c r="Z20" s="6" t="s">
        <v>623</v>
      </c>
      <c r="AA20" s="6" t="s">
        <v>388</v>
      </c>
      <c r="AB20" s="6" t="s">
        <v>409</v>
      </c>
      <c r="AC20" s="6" t="s">
        <v>672</v>
      </c>
      <c r="AD20" s="6" t="s">
        <v>430</v>
      </c>
      <c r="AE20" s="6" t="s">
        <v>646</v>
      </c>
      <c r="AF20" s="6" t="s">
        <v>529</v>
      </c>
      <c r="AG20" s="10" t="s">
        <v>530</v>
      </c>
    </row>
    <row r="21" spans="1:33" x14ac:dyDescent="0.25">
      <c r="A21" s="2">
        <v>20</v>
      </c>
      <c r="B21" s="6" t="s">
        <v>435</v>
      </c>
      <c r="C21" s="6" t="str">
        <f>CONCATENATE(TablaVaquera[[#This Row],[Nombre Tradicional]],"-Mujer")</f>
        <v>Chinaco-Mujer</v>
      </c>
      <c r="D21" s="6" t="s">
        <v>436</v>
      </c>
      <c r="E21" s="6" t="s">
        <v>547</v>
      </c>
      <c r="F21" s="6" t="s">
        <v>577</v>
      </c>
      <c r="G21" s="6" t="s">
        <v>601</v>
      </c>
      <c r="H21" s="6" t="s">
        <v>68</v>
      </c>
      <c r="I21" s="6" t="s">
        <v>97</v>
      </c>
      <c r="J21" s="6" t="s">
        <v>118</v>
      </c>
      <c r="K21" s="6" t="s">
        <v>139</v>
      </c>
      <c r="L21" s="6" t="s">
        <v>151</v>
      </c>
      <c r="M21" s="8" t="s">
        <v>171</v>
      </c>
      <c r="N21" s="6" t="s">
        <v>192</v>
      </c>
      <c r="O21" s="6" t="s">
        <v>213</v>
      </c>
      <c r="P21" s="6" t="s">
        <v>229</v>
      </c>
      <c r="Q21" s="6" t="s">
        <v>246</v>
      </c>
      <c r="R21" s="6" t="s">
        <v>266</v>
      </c>
      <c r="S21" s="6" t="s">
        <v>286</v>
      </c>
      <c r="T21" s="6" t="s">
        <v>298</v>
      </c>
      <c r="U21" s="6" t="s">
        <v>288</v>
      </c>
      <c r="V21" s="6" t="s">
        <v>319</v>
      </c>
      <c r="W21" s="6" t="s">
        <v>338</v>
      </c>
      <c r="X21" s="6" t="s">
        <v>359</v>
      </c>
      <c r="Y21" s="6" t="s">
        <v>380</v>
      </c>
      <c r="Z21" s="6" t="s">
        <v>624</v>
      </c>
      <c r="AA21" s="6" t="s">
        <v>389</v>
      </c>
      <c r="AB21" s="6" t="s">
        <v>410</v>
      </c>
      <c r="AC21" s="6" t="s">
        <v>673</v>
      </c>
      <c r="AD21" s="6" t="s">
        <v>431</v>
      </c>
      <c r="AE21" s="6" t="s">
        <v>647</v>
      </c>
      <c r="AF21" s="6" t="s">
        <v>531</v>
      </c>
      <c r="AG21" s="10" t="s">
        <v>532</v>
      </c>
    </row>
    <row r="22" spans="1:33" x14ac:dyDescent="0.25">
      <c r="A22" s="2">
        <v>21</v>
      </c>
      <c r="B22" s="6" t="s">
        <v>455</v>
      </c>
      <c r="C22" s="6" t="str">
        <f>CONCATENATE(TablaVaquera[[#This Row],[Nombre Tradicional]],"-Mujer")</f>
        <v>Vaquero Afrodescendiente-Mujer</v>
      </c>
      <c r="D22" s="6" t="s">
        <v>456</v>
      </c>
      <c r="E22" s="6" t="s">
        <v>551</v>
      </c>
      <c r="F22" s="6" t="s">
        <v>576</v>
      </c>
      <c r="G22" s="6" t="s">
        <v>602</v>
      </c>
      <c r="H22" s="6" t="s">
        <v>76</v>
      </c>
      <c r="I22" s="6" t="s">
        <v>457</v>
      </c>
      <c r="J22" s="6" t="s">
        <v>458</v>
      </c>
      <c r="K22" s="6" t="s">
        <v>459</v>
      </c>
      <c r="L22" s="6" t="s">
        <v>465</v>
      </c>
      <c r="M22" s="8" t="s">
        <v>466</v>
      </c>
      <c r="N22" s="6" t="s">
        <v>460</v>
      </c>
      <c r="O22" s="6" t="s">
        <v>461</v>
      </c>
      <c r="P22" s="6" t="s">
        <v>462</v>
      </c>
      <c r="Q22" s="6" t="s">
        <v>463</v>
      </c>
      <c r="R22" s="6" t="s">
        <v>464</v>
      </c>
      <c r="S22" s="6" t="s">
        <v>467</v>
      </c>
      <c r="T22" s="6" t="s">
        <v>468</v>
      </c>
      <c r="U22" s="6" t="s">
        <v>302</v>
      </c>
      <c r="V22" s="6" t="s">
        <v>469</v>
      </c>
      <c r="W22" s="6" t="s">
        <v>326</v>
      </c>
      <c r="X22" s="6" t="s">
        <v>470</v>
      </c>
      <c r="Y22" s="6" t="s">
        <v>471</v>
      </c>
      <c r="Z22" s="6" t="s">
        <v>625</v>
      </c>
      <c r="AA22" s="6" t="s">
        <v>472</v>
      </c>
      <c r="AB22" s="6" t="s">
        <v>473</v>
      </c>
      <c r="AC22" s="6" t="s">
        <v>674</v>
      </c>
      <c r="AD22" s="6" t="s">
        <v>474</v>
      </c>
      <c r="AE22" s="6" t="s">
        <v>648</v>
      </c>
      <c r="AF22" s="6" t="s">
        <v>533</v>
      </c>
      <c r="AG22" s="10" t="s">
        <v>534</v>
      </c>
    </row>
    <row r="23" spans="1:33" ht="15" customHeight="1" x14ac:dyDescent="0.25">
      <c r="A23" s="2">
        <v>22</v>
      </c>
      <c r="B23" s="6" t="s">
        <v>45</v>
      </c>
      <c r="C23" s="6" t="str">
        <f>CONCATENATE(TablaVaquera[[#This Row],[Nombre Tradicional]],"-Mujer")</f>
        <v>Paniolo-Mujer</v>
      </c>
      <c r="D23" s="6" t="s">
        <v>62</v>
      </c>
      <c r="E23" s="6" t="s">
        <v>550</v>
      </c>
      <c r="F23" s="6" t="s">
        <v>575</v>
      </c>
      <c r="G23" s="6" t="s">
        <v>603</v>
      </c>
      <c r="H23" s="6" t="s">
        <v>77</v>
      </c>
      <c r="I23" s="6" t="s">
        <v>98</v>
      </c>
      <c r="J23" s="6" t="s">
        <v>119</v>
      </c>
      <c r="K23" s="6" t="s">
        <v>140</v>
      </c>
      <c r="L23" s="6" t="s">
        <v>152</v>
      </c>
      <c r="M23" s="8">
        <v>1832</v>
      </c>
      <c r="N23" s="6" t="s">
        <v>193</v>
      </c>
      <c r="O23" s="6" t="s">
        <v>214</v>
      </c>
      <c r="P23" s="6" t="s">
        <v>230</v>
      </c>
      <c r="Q23" s="6" t="s">
        <v>231</v>
      </c>
      <c r="R23" s="6" t="s">
        <v>267</v>
      </c>
      <c r="S23" s="6" t="s">
        <v>287</v>
      </c>
      <c r="T23" s="6" t="s">
        <v>299</v>
      </c>
      <c r="U23" s="6" t="s">
        <v>288</v>
      </c>
      <c r="V23" s="6" t="s">
        <v>308</v>
      </c>
      <c r="W23" s="6" t="s">
        <v>339</v>
      </c>
      <c r="X23" s="6" t="s">
        <v>360</v>
      </c>
      <c r="Y23" s="6" t="s">
        <v>381</v>
      </c>
      <c r="Z23" s="6" t="s">
        <v>626</v>
      </c>
      <c r="AA23" s="6" t="s">
        <v>382</v>
      </c>
      <c r="AB23" s="6" t="s">
        <v>411</v>
      </c>
      <c r="AC23" s="6" t="s">
        <v>675</v>
      </c>
      <c r="AD23" s="6" t="s">
        <v>432</v>
      </c>
      <c r="AE23" s="6" t="s">
        <v>649</v>
      </c>
      <c r="AF23" s="6" t="s">
        <v>537</v>
      </c>
      <c r="AG23" s="10" t="s">
        <v>538</v>
      </c>
    </row>
    <row r="24" spans="1:33" x14ac:dyDescent="0.25">
      <c r="A24" s="2">
        <v>23</v>
      </c>
      <c r="B24" s="6" t="s">
        <v>46</v>
      </c>
      <c r="C24" s="6" t="str">
        <f>CONCATENATE(TablaVaquera[[#This Row],[Nombre Tradicional]],"-Mujer")</f>
        <v>Cowboy Angloamericano-Mujer</v>
      </c>
      <c r="D24" s="6" t="s">
        <v>475</v>
      </c>
      <c r="E24" s="6" t="s">
        <v>549</v>
      </c>
      <c r="F24" s="6" t="s">
        <v>574</v>
      </c>
      <c r="G24" s="6" t="s">
        <v>605</v>
      </c>
      <c r="H24" s="6" t="s">
        <v>76</v>
      </c>
      <c r="I24" s="6" t="s">
        <v>476</v>
      </c>
      <c r="J24" s="6" t="s">
        <v>477</v>
      </c>
      <c r="K24" s="6" t="s">
        <v>478</v>
      </c>
      <c r="L24" s="6" t="s">
        <v>172</v>
      </c>
      <c r="M24" s="8" t="s">
        <v>172</v>
      </c>
      <c r="N24" s="6" t="s">
        <v>480</v>
      </c>
      <c r="O24" s="6" t="s">
        <v>481</v>
      </c>
      <c r="P24" s="6" t="s">
        <v>479</v>
      </c>
      <c r="Q24" s="6" t="s">
        <v>482</v>
      </c>
      <c r="R24" s="6" t="s">
        <v>483</v>
      </c>
      <c r="S24" s="6" t="s">
        <v>484</v>
      </c>
      <c r="T24" s="6" t="s">
        <v>485</v>
      </c>
      <c r="U24" s="6" t="s">
        <v>486</v>
      </c>
      <c r="V24" s="6" t="s">
        <v>320</v>
      </c>
      <c r="W24" s="6" t="s">
        <v>487</v>
      </c>
      <c r="X24" s="6" t="s">
        <v>490</v>
      </c>
      <c r="Y24" s="6" t="s">
        <v>491</v>
      </c>
      <c r="Z24" s="6" t="s">
        <v>627</v>
      </c>
      <c r="AA24" s="6" t="s">
        <v>390</v>
      </c>
      <c r="AB24" s="6" t="s">
        <v>488</v>
      </c>
      <c r="AC24" s="6" t="s">
        <v>676</v>
      </c>
      <c r="AD24" s="6" t="s">
        <v>489</v>
      </c>
      <c r="AE24" s="6" t="s">
        <v>650</v>
      </c>
      <c r="AF24" s="6" t="s">
        <v>533</v>
      </c>
      <c r="AG24" s="10" t="s">
        <v>534</v>
      </c>
    </row>
    <row r="25" spans="1:33" x14ac:dyDescent="0.25">
      <c r="A25" s="2">
        <v>24</v>
      </c>
      <c r="B25" s="6" t="s">
        <v>434</v>
      </c>
      <c r="C25" s="6" t="str">
        <f>CONCATENATE(TablaVaquera[[#This Row],[Nombre Tradicional]],"-Mujer")</f>
        <v>Charro -Mujer</v>
      </c>
      <c r="D25" s="6" t="s">
        <v>437</v>
      </c>
      <c r="E25" s="6" t="s">
        <v>548</v>
      </c>
      <c r="F25" s="6" t="s">
        <v>573</v>
      </c>
      <c r="G25" s="6" t="s">
        <v>604</v>
      </c>
      <c r="H25" s="6" t="s">
        <v>68</v>
      </c>
      <c r="I25" s="6" t="s">
        <v>438</v>
      </c>
      <c r="J25" s="6" t="s">
        <v>118</v>
      </c>
      <c r="K25" s="6" t="s">
        <v>439</v>
      </c>
      <c r="L25" s="6" t="s">
        <v>440</v>
      </c>
      <c r="M25" s="8" t="s">
        <v>441</v>
      </c>
      <c r="N25" s="6" t="s">
        <v>442</v>
      </c>
      <c r="O25" s="6" t="s">
        <v>443</v>
      </c>
      <c r="P25" s="6" t="s">
        <v>444</v>
      </c>
      <c r="Q25" s="6" t="s">
        <v>445</v>
      </c>
      <c r="R25" s="6" t="s">
        <v>446</v>
      </c>
      <c r="S25" s="6" t="s">
        <v>447</v>
      </c>
      <c r="T25" s="6" t="s">
        <v>448</v>
      </c>
      <c r="U25" s="6" t="s">
        <v>288</v>
      </c>
      <c r="V25" s="6" t="s">
        <v>449</v>
      </c>
      <c r="W25" s="6" t="s">
        <v>450</v>
      </c>
      <c r="X25" s="6" t="s">
        <v>451</v>
      </c>
      <c r="Y25" s="6" t="s">
        <v>380</v>
      </c>
      <c r="Z25" s="6" t="s">
        <v>628</v>
      </c>
      <c r="AA25" s="6" t="s">
        <v>452</v>
      </c>
      <c r="AB25" s="6" t="s">
        <v>453</v>
      </c>
      <c r="AC25" s="6" t="s">
        <v>677</v>
      </c>
      <c r="AD25" s="6" t="s">
        <v>454</v>
      </c>
      <c r="AE25" s="6" t="s">
        <v>651</v>
      </c>
      <c r="AF25" s="6" t="s">
        <v>535</v>
      </c>
      <c r="AG25" s="10" t="s">
        <v>536</v>
      </c>
    </row>
  </sheetData>
  <phoneticPr fontId="4"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user</cp:lastModifiedBy>
  <dcterms:created xsi:type="dcterms:W3CDTF">2026-10-13T06:21:39Z</dcterms:created>
  <dcterms:modified xsi:type="dcterms:W3CDTF">2026-10-20T02:57:25Z</dcterms:modified>
</cp:coreProperties>
</file>